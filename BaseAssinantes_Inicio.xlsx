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liente\Downloads\"/>
    </mc:Choice>
  </mc:AlternateContent>
  <xr:revisionPtr revIDLastSave="0" documentId="13_ncr:1_{D752B1A6-9B48-4E38-B5FA-9D58CBB786BD}" xr6:coauthVersionLast="47" xr6:coauthVersionMax="47" xr10:uidLastSave="{00000000-0000-0000-0000-000000000000}"/>
  <bookViews>
    <workbookView xWindow="-120" yWindow="-120" windowWidth="29040" windowHeight="15840" activeTab="3" xr2:uid="{A6417F27-DCD0-4E6C-9D29-57B48A9BF817}"/>
  </bookViews>
  <sheets>
    <sheet name="BaseAssinantes" sheetId="1" r:id="rId1"/>
    <sheet name="Planejamento" sheetId="7" r:id="rId2"/>
    <sheet name="Análise" sheetId="8" r:id="rId3"/>
    <sheet name="Dashboard" sheetId="6" r:id="rId4"/>
  </sheets>
  <definedNames>
    <definedName name="_xlnm._FilterDatabase" localSheetId="0" hidden="1">BaseAssinantes!$B$2:$I$804</definedName>
    <definedName name="_xlchart.v5.0" hidden="1">Análise!$U$11</definedName>
    <definedName name="_xlchart.v5.1" hidden="1">Análise!$U$12:$U$14</definedName>
    <definedName name="_xlchart.v5.2" hidden="1">Análise!$V$11</definedName>
    <definedName name="_xlchart.v5.3" hidden="1">Análise!$V$12:$V$14</definedName>
    <definedName name="SegmentaçãodeDados_Assinatura">#N/A</definedName>
    <definedName name="SegmentaçãodeDados_Faixa_Etária">#N/A</definedName>
    <definedName name="SegmentaçãodeDados_Gênero">#N/A</definedName>
    <definedName name="SegmentaçãodeDados_Região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7" i="8" l="1"/>
  <c r="AA18" i="8"/>
  <c r="AA19" i="8"/>
  <c r="AA20" i="8"/>
  <c r="AA21" i="8"/>
  <c r="AA22" i="8"/>
  <c r="AA23" i="8"/>
  <c r="AA16" i="8"/>
  <c r="O16" i="8" l="1"/>
  <c r="AB17" i="8"/>
  <c r="AB18" i="8"/>
  <c r="AB19" i="8"/>
  <c r="AB20" i="8"/>
  <c r="AB21" i="8"/>
  <c r="AB22" i="8"/>
  <c r="AB23" i="8"/>
  <c r="AB16" i="8"/>
  <c r="O14" i="8"/>
  <c r="P14" i="8"/>
  <c r="O15" i="8"/>
  <c r="P15" i="8"/>
  <c r="P16" i="8"/>
  <c r="P13" i="8"/>
  <c r="O13" i="8"/>
  <c r="L3" i="1"/>
  <c r="M3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M111" i="1" s="1"/>
  <c r="L112" i="1"/>
  <c r="M112" i="1" s="1"/>
  <c r="L113" i="1"/>
  <c r="M113" i="1" s="1"/>
  <c r="L114" i="1"/>
  <c r="M114" i="1" s="1"/>
  <c r="L115" i="1"/>
  <c r="M115" i="1" s="1"/>
  <c r="L116" i="1"/>
  <c r="M116" i="1" s="1"/>
  <c r="L117" i="1"/>
  <c r="M117" i="1" s="1"/>
  <c r="L118" i="1"/>
  <c r="M118" i="1" s="1"/>
  <c r="L119" i="1"/>
  <c r="M119" i="1" s="1"/>
  <c r="L120" i="1"/>
  <c r="M120" i="1" s="1"/>
  <c r="L121" i="1"/>
  <c r="M121" i="1" s="1"/>
  <c r="L122" i="1"/>
  <c r="M122" i="1" s="1"/>
  <c r="L123" i="1"/>
  <c r="M123" i="1" s="1"/>
  <c r="L124" i="1"/>
  <c r="M124" i="1" s="1"/>
  <c r="L125" i="1"/>
  <c r="M125" i="1" s="1"/>
  <c r="L126" i="1"/>
  <c r="M126" i="1" s="1"/>
  <c r="L127" i="1"/>
  <c r="M127" i="1" s="1"/>
  <c r="L128" i="1"/>
  <c r="M128" i="1" s="1"/>
  <c r="L129" i="1"/>
  <c r="M129" i="1" s="1"/>
  <c r="L130" i="1"/>
  <c r="M130" i="1" s="1"/>
  <c r="L131" i="1"/>
  <c r="M131" i="1" s="1"/>
  <c r="L132" i="1"/>
  <c r="M132" i="1" s="1"/>
  <c r="L133" i="1"/>
  <c r="M133" i="1" s="1"/>
  <c r="L134" i="1"/>
  <c r="M134" i="1" s="1"/>
  <c r="L135" i="1"/>
  <c r="M135" i="1" s="1"/>
  <c r="L136" i="1"/>
  <c r="M136" i="1" s="1"/>
  <c r="L137" i="1"/>
  <c r="M137" i="1" s="1"/>
  <c r="L138" i="1"/>
  <c r="M138" i="1" s="1"/>
  <c r="L139" i="1"/>
  <c r="M139" i="1" s="1"/>
  <c r="L140" i="1"/>
  <c r="M140" i="1" s="1"/>
  <c r="L141" i="1"/>
  <c r="M141" i="1" s="1"/>
  <c r="L142" i="1"/>
  <c r="M142" i="1" s="1"/>
  <c r="L143" i="1"/>
  <c r="M143" i="1" s="1"/>
  <c r="L144" i="1"/>
  <c r="M144" i="1" s="1"/>
  <c r="L145" i="1"/>
  <c r="M145" i="1" s="1"/>
  <c r="L146" i="1"/>
  <c r="M146" i="1" s="1"/>
  <c r="L147" i="1"/>
  <c r="M147" i="1" s="1"/>
  <c r="L148" i="1"/>
  <c r="M148" i="1" s="1"/>
  <c r="L149" i="1"/>
  <c r="M149" i="1" s="1"/>
  <c r="L150" i="1"/>
  <c r="M150" i="1" s="1"/>
  <c r="L151" i="1"/>
  <c r="M151" i="1" s="1"/>
  <c r="L152" i="1"/>
  <c r="M152" i="1" s="1"/>
  <c r="L153" i="1"/>
  <c r="M153" i="1" s="1"/>
  <c r="L154" i="1"/>
  <c r="M154" i="1" s="1"/>
  <c r="L155" i="1"/>
  <c r="M155" i="1" s="1"/>
  <c r="L156" i="1"/>
  <c r="M156" i="1" s="1"/>
  <c r="L157" i="1"/>
  <c r="M157" i="1" s="1"/>
  <c r="L158" i="1"/>
  <c r="M158" i="1" s="1"/>
  <c r="L159" i="1"/>
  <c r="M159" i="1" s="1"/>
  <c r="L160" i="1"/>
  <c r="M160" i="1" s="1"/>
  <c r="L161" i="1"/>
  <c r="M161" i="1" s="1"/>
  <c r="L162" i="1"/>
  <c r="M162" i="1" s="1"/>
  <c r="L163" i="1"/>
  <c r="M163" i="1" s="1"/>
  <c r="L164" i="1"/>
  <c r="M164" i="1" s="1"/>
  <c r="L165" i="1"/>
  <c r="M165" i="1" s="1"/>
  <c r="L166" i="1"/>
  <c r="M166" i="1" s="1"/>
  <c r="L167" i="1"/>
  <c r="M167" i="1" s="1"/>
  <c r="L168" i="1"/>
  <c r="M168" i="1" s="1"/>
  <c r="L169" i="1"/>
  <c r="M169" i="1" s="1"/>
  <c r="L170" i="1"/>
  <c r="M170" i="1" s="1"/>
  <c r="L171" i="1"/>
  <c r="M171" i="1" s="1"/>
  <c r="L172" i="1"/>
  <c r="M172" i="1" s="1"/>
  <c r="L173" i="1"/>
  <c r="M173" i="1" s="1"/>
  <c r="L174" i="1"/>
  <c r="M174" i="1" s="1"/>
  <c r="L175" i="1"/>
  <c r="M175" i="1" s="1"/>
  <c r="L176" i="1"/>
  <c r="M176" i="1" s="1"/>
  <c r="L177" i="1"/>
  <c r="M177" i="1" s="1"/>
  <c r="L178" i="1"/>
  <c r="M178" i="1" s="1"/>
  <c r="L179" i="1"/>
  <c r="M179" i="1" s="1"/>
  <c r="L180" i="1"/>
  <c r="M180" i="1" s="1"/>
  <c r="L181" i="1"/>
  <c r="M181" i="1" s="1"/>
  <c r="L182" i="1"/>
  <c r="M182" i="1" s="1"/>
  <c r="L183" i="1"/>
  <c r="M183" i="1" s="1"/>
  <c r="L184" i="1"/>
  <c r="M184" i="1" s="1"/>
  <c r="L185" i="1"/>
  <c r="M185" i="1" s="1"/>
  <c r="L186" i="1"/>
  <c r="M186" i="1" s="1"/>
  <c r="L187" i="1"/>
  <c r="M187" i="1" s="1"/>
  <c r="L188" i="1"/>
  <c r="M188" i="1" s="1"/>
  <c r="L189" i="1"/>
  <c r="M189" i="1" s="1"/>
  <c r="L190" i="1"/>
  <c r="M190" i="1" s="1"/>
  <c r="L191" i="1"/>
  <c r="M191" i="1" s="1"/>
  <c r="L192" i="1"/>
  <c r="M192" i="1" s="1"/>
  <c r="L193" i="1"/>
  <c r="M193" i="1" s="1"/>
  <c r="L194" i="1"/>
  <c r="M194" i="1" s="1"/>
  <c r="L195" i="1"/>
  <c r="M195" i="1" s="1"/>
  <c r="L196" i="1"/>
  <c r="M196" i="1" s="1"/>
  <c r="L197" i="1"/>
  <c r="M197" i="1" s="1"/>
  <c r="L198" i="1"/>
  <c r="M198" i="1" s="1"/>
  <c r="L199" i="1"/>
  <c r="M199" i="1" s="1"/>
  <c r="L200" i="1"/>
  <c r="M200" i="1" s="1"/>
  <c r="L201" i="1"/>
  <c r="M201" i="1" s="1"/>
  <c r="L202" i="1"/>
  <c r="M202" i="1" s="1"/>
  <c r="L203" i="1"/>
  <c r="M203" i="1" s="1"/>
  <c r="L204" i="1"/>
  <c r="M204" i="1" s="1"/>
  <c r="L205" i="1"/>
  <c r="M205" i="1" s="1"/>
  <c r="L206" i="1"/>
  <c r="M206" i="1" s="1"/>
  <c r="L207" i="1"/>
  <c r="M207" i="1" s="1"/>
  <c r="L208" i="1"/>
  <c r="M208" i="1" s="1"/>
  <c r="L209" i="1"/>
  <c r="M209" i="1" s="1"/>
  <c r="L210" i="1"/>
  <c r="M210" i="1" s="1"/>
  <c r="L211" i="1"/>
  <c r="M211" i="1" s="1"/>
  <c r="L212" i="1"/>
  <c r="M212" i="1" s="1"/>
  <c r="L213" i="1"/>
  <c r="M213" i="1" s="1"/>
  <c r="L214" i="1"/>
  <c r="M214" i="1" s="1"/>
  <c r="L215" i="1"/>
  <c r="M215" i="1" s="1"/>
  <c r="L216" i="1"/>
  <c r="M216" i="1" s="1"/>
  <c r="L217" i="1"/>
  <c r="M217" i="1" s="1"/>
  <c r="L218" i="1"/>
  <c r="M218" i="1" s="1"/>
  <c r="L219" i="1"/>
  <c r="M219" i="1" s="1"/>
  <c r="L220" i="1"/>
  <c r="M220" i="1" s="1"/>
  <c r="L221" i="1"/>
  <c r="M221" i="1" s="1"/>
  <c r="L222" i="1"/>
  <c r="M222" i="1" s="1"/>
  <c r="L223" i="1"/>
  <c r="M223" i="1" s="1"/>
  <c r="L224" i="1"/>
  <c r="M224" i="1" s="1"/>
  <c r="L225" i="1"/>
  <c r="M225" i="1" s="1"/>
  <c r="L226" i="1"/>
  <c r="M226" i="1" s="1"/>
  <c r="L227" i="1"/>
  <c r="M227" i="1" s="1"/>
  <c r="L228" i="1"/>
  <c r="M228" i="1" s="1"/>
  <c r="L229" i="1"/>
  <c r="M229" i="1" s="1"/>
  <c r="L230" i="1"/>
  <c r="M230" i="1" s="1"/>
  <c r="L231" i="1"/>
  <c r="M231" i="1" s="1"/>
  <c r="L232" i="1"/>
  <c r="M232" i="1" s="1"/>
  <c r="L233" i="1"/>
  <c r="M233" i="1" s="1"/>
  <c r="L234" i="1"/>
  <c r="M234" i="1" s="1"/>
  <c r="L235" i="1"/>
  <c r="M235" i="1" s="1"/>
  <c r="L236" i="1"/>
  <c r="M236" i="1" s="1"/>
  <c r="L237" i="1"/>
  <c r="M237" i="1" s="1"/>
  <c r="L238" i="1"/>
  <c r="M238" i="1" s="1"/>
  <c r="L239" i="1"/>
  <c r="M239" i="1" s="1"/>
  <c r="L240" i="1"/>
  <c r="M240" i="1" s="1"/>
  <c r="L241" i="1"/>
  <c r="M241" i="1" s="1"/>
  <c r="L242" i="1"/>
  <c r="M242" i="1" s="1"/>
  <c r="L243" i="1"/>
  <c r="M243" i="1" s="1"/>
  <c r="L244" i="1"/>
  <c r="M244" i="1" s="1"/>
  <c r="L245" i="1"/>
  <c r="M245" i="1" s="1"/>
  <c r="L246" i="1"/>
  <c r="M246" i="1" s="1"/>
  <c r="L247" i="1"/>
  <c r="M247" i="1" s="1"/>
  <c r="L248" i="1"/>
  <c r="M248" i="1" s="1"/>
  <c r="L249" i="1"/>
  <c r="M249" i="1" s="1"/>
  <c r="L250" i="1"/>
  <c r="M250" i="1" s="1"/>
  <c r="L251" i="1"/>
  <c r="M251" i="1" s="1"/>
  <c r="L252" i="1"/>
  <c r="M252" i="1" s="1"/>
  <c r="L253" i="1"/>
  <c r="M253" i="1" s="1"/>
  <c r="L254" i="1"/>
  <c r="M254" i="1" s="1"/>
  <c r="L255" i="1"/>
  <c r="M255" i="1" s="1"/>
  <c r="L256" i="1"/>
  <c r="M256" i="1" s="1"/>
  <c r="L257" i="1"/>
  <c r="M257" i="1" s="1"/>
  <c r="L258" i="1"/>
  <c r="M258" i="1" s="1"/>
  <c r="L259" i="1"/>
  <c r="M259" i="1" s="1"/>
  <c r="L260" i="1"/>
  <c r="M260" i="1" s="1"/>
  <c r="L261" i="1"/>
  <c r="M261" i="1" s="1"/>
  <c r="L262" i="1"/>
  <c r="M262" i="1" s="1"/>
  <c r="L263" i="1"/>
  <c r="M263" i="1" s="1"/>
  <c r="L264" i="1"/>
  <c r="M264" i="1" s="1"/>
  <c r="L265" i="1"/>
  <c r="M265" i="1" s="1"/>
  <c r="L266" i="1"/>
  <c r="M266" i="1" s="1"/>
  <c r="L267" i="1"/>
  <c r="M267" i="1" s="1"/>
  <c r="L268" i="1"/>
  <c r="M268" i="1" s="1"/>
  <c r="L269" i="1"/>
  <c r="M269" i="1" s="1"/>
  <c r="L270" i="1"/>
  <c r="M270" i="1" s="1"/>
  <c r="L271" i="1"/>
  <c r="M271" i="1" s="1"/>
  <c r="L272" i="1"/>
  <c r="M272" i="1" s="1"/>
  <c r="L273" i="1"/>
  <c r="M273" i="1" s="1"/>
  <c r="L274" i="1"/>
  <c r="M274" i="1" s="1"/>
  <c r="L275" i="1"/>
  <c r="M275" i="1" s="1"/>
  <c r="L276" i="1"/>
  <c r="M276" i="1" s="1"/>
  <c r="L277" i="1"/>
  <c r="M277" i="1" s="1"/>
  <c r="L278" i="1"/>
  <c r="M278" i="1" s="1"/>
  <c r="L279" i="1"/>
  <c r="M279" i="1" s="1"/>
  <c r="L280" i="1"/>
  <c r="M280" i="1" s="1"/>
  <c r="L281" i="1"/>
  <c r="M281" i="1" s="1"/>
  <c r="L282" i="1"/>
  <c r="M282" i="1" s="1"/>
  <c r="L283" i="1"/>
  <c r="M283" i="1" s="1"/>
  <c r="L284" i="1"/>
  <c r="M284" i="1" s="1"/>
  <c r="L285" i="1"/>
  <c r="M285" i="1" s="1"/>
  <c r="L286" i="1"/>
  <c r="M286" i="1" s="1"/>
  <c r="L287" i="1"/>
  <c r="M287" i="1" s="1"/>
  <c r="L288" i="1"/>
  <c r="M288" i="1" s="1"/>
  <c r="L289" i="1"/>
  <c r="M289" i="1" s="1"/>
  <c r="L290" i="1"/>
  <c r="M290" i="1" s="1"/>
  <c r="L291" i="1"/>
  <c r="M291" i="1" s="1"/>
  <c r="L292" i="1"/>
  <c r="M292" i="1" s="1"/>
  <c r="L293" i="1"/>
  <c r="M293" i="1" s="1"/>
  <c r="L294" i="1"/>
  <c r="M294" i="1" s="1"/>
  <c r="L295" i="1"/>
  <c r="M295" i="1" s="1"/>
  <c r="L296" i="1"/>
  <c r="M296" i="1" s="1"/>
  <c r="L297" i="1"/>
  <c r="M297" i="1" s="1"/>
  <c r="L298" i="1"/>
  <c r="M298" i="1" s="1"/>
  <c r="L299" i="1"/>
  <c r="M299" i="1" s="1"/>
  <c r="L300" i="1"/>
  <c r="M300" i="1" s="1"/>
  <c r="L301" i="1"/>
  <c r="M301" i="1" s="1"/>
  <c r="L302" i="1"/>
  <c r="M302" i="1" s="1"/>
  <c r="L303" i="1"/>
  <c r="M303" i="1" s="1"/>
  <c r="L304" i="1"/>
  <c r="M304" i="1" s="1"/>
  <c r="L305" i="1"/>
  <c r="M305" i="1" s="1"/>
  <c r="L306" i="1"/>
  <c r="M306" i="1" s="1"/>
  <c r="L307" i="1"/>
  <c r="M307" i="1" s="1"/>
  <c r="L308" i="1"/>
  <c r="M308" i="1" s="1"/>
  <c r="L309" i="1"/>
  <c r="M309" i="1" s="1"/>
  <c r="L310" i="1"/>
  <c r="M310" i="1" s="1"/>
  <c r="L311" i="1"/>
  <c r="M311" i="1" s="1"/>
  <c r="L312" i="1"/>
  <c r="M312" i="1" s="1"/>
  <c r="L313" i="1"/>
  <c r="M313" i="1" s="1"/>
  <c r="L314" i="1"/>
  <c r="M314" i="1" s="1"/>
  <c r="L315" i="1"/>
  <c r="M315" i="1" s="1"/>
  <c r="L316" i="1"/>
  <c r="M316" i="1" s="1"/>
  <c r="L317" i="1"/>
  <c r="M317" i="1" s="1"/>
  <c r="L318" i="1"/>
  <c r="M318" i="1" s="1"/>
  <c r="L319" i="1"/>
  <c r="M319" i="1" s="1"/>
  <c r="L320" i="1"/>
  <c r="M320" i="1" s="1"/>
  <c r="L321" i="1"/>
  <c r="M321" i="1" s="1"/>
  <c r="L322" i="1"/>
  <c r="M322" i="1" s="1"/>
  <c r="L323" i="1"/>
  <c r="M323" i="1" s="1"/>
  <c r="L324" i="1"/>
  <c r="M324" i="1" s="1"/>
  <c r="L325" i="1"/>
  <c r="M325" i="1" s="1"/>
  <c r="L326" i="1"/>
  <c r="M326" i="1" s="1"/>
  <c r="L327" i="1"/>
  <c r="M327" i="1" s="1"/>
  <c r="L328" i="1"/>
  <c r="M328" i="1" s="1"/>
  <c r="L329" i="1"/>
  <c r="M329" i="1" s="1"/>
  <c r="L330" i="1"/>
  <c r="M330" i="1" s="1"/>
  <c r="L331" i="1"/>
  <c r="M331" i="1" s="1"/>
  <c r="L332" i="1"/>
  <c r="M332" i="1" s="1"/>
  <c r="L333" i="1"/>
  <c r="M333" i="1" s="1"/>
  <c r="L334" i="1"/>
  <c r="M334" i="1" s="1"/>
  <c r="L335" i="1"/>
  <c r="M335" i="1" s="1"/>
  <c r="L336" i="1"/>
  <c r="M336" i="1" s="1"/>
  <c r="L337" i="1"/>
  <c r="M337" i="1" s="1"/>
  <c r="L338" i="1"/>
  <c r="M338" i="1" s="1"/>
  <c r="L339" i="1"/>
  <c r="M339" i="1" s="1"/>
  <c r="L340" i="1"/>
  <c r="M340" i="1" s="1"/>
  <c r="L341" i="1"/>
  <c r="M341" i="1" s="1"/>
  <c r="L342" i="1"/>
  <c r="M342" i="1" s="1"/>
  <c r="L343" i="1"/>
  <c r="M343" i="1" s="1"/>
  <c r="L344" i="1"/>
  <c r="M344" i="1" s="1"/>
  <c r="L345" i="1"/>
  <c r="M345" i="1" s="1"/>
  <c r="L346" i="1"/>
  <c r="M346" i="1" s="1"/>
  <c r="L347" i="1"/>
  <c r="M347" i="1" s="1"/>
  <c r="L348" i="1"/>
  <c r="M348" i="1" s="1"/>
  <c r="L349" i="1"/>
  <c r="M349" i="1" s="1"/>
  <c r="L350" i="1"/>
  <c r="M350" i="1" s="1"/>
  <c r="L351" i="1"/>
  <c r="M351" i="1" s="1"/>
  <c r="L352" i="1"/>
  <c r="M352" i="1" s="1"/>
  <c r="L353" i="1"/>
  <c r="M353" i="1" s="1"/>
  <c r="L354" i="1"/>
  <c r="M354" i="1" s="1"/>
  <c r="L355" i="1"/>
  <c r="M355" i="1" s="1"/>
  <c r="L356" i="1"/>
  <c r="M356" i="1" s="1"/>
  <c r="L357" i="1"/>
  <c r="M357" i="1" s="1"/>
  <c r="L358" i="1"/>
  <c r="M358" i="1" s="1"/>
  <c r="L359" i="1"/>
  <c r="M359" i="1" s="1"/>
  <c r="L360" i="1"/>
  <c r="M360" i="1" s="1"/>
  <c r="L361" i="1"/>
  <c r="M361" i="1" s="1"/>
  <c r="L362" i="1"/>
  <c r="M362" i="1" s="1"/>
  <c r="L363" i="1"/>
  <c r="M363" i="1" s="1"/>
  <c r="L364" i="1"/>
  <c r="M364" i="1" s="1"/>
  <c r="L365" i="1"/>
  <c r="M365" i="1" s="1"/>
  <c r="L366" i="1"/>
  <c r="M366" i="1" s="1"/>
  <c r="L367" i="1"/>
  <c r="M367" i="1" s="1"/>
  <c r="L368" i="1"/>
  <c r="M368" i="1" s="1"/>
  <c r="L369" i="1"/>
  <c r="M369" i="1" s="1"/>
  <c r="L370" i="1"/>
  <c r="M370" i="1" s="1"/>
  <c r="L371" i="1"/>
  <c r="M371" i="1" s="1"/>
  <c r="L372" i="1"/>
  <c r="M372" i="1" s="1"/>
  <c r="L373" i="1"/>
  <c r="M373" i="1" s="1"/>
  <c r="L374" i="1"/>
  <c r="M374" i="1" s="1"/>
  <c r="L375" i="1"/>
  <c r="M375" i="1" s="1"/>
  <c r="L376" i="1"/>
  <c r="M376" i="1" s="1"/>
  <c r="L377" i="1"/>
  <c r="M377" i="1" s="1"/>
  <c r="L378" i="1"/>
  <c r="M378" i="1" s="1"/>
  <c r="L379" i="1"/>
  <c r="M379" i="1" s="1"/>
  <c r="L380" i="1"/>
  <c r="M380" i="1" s="1"/>
  <c r="L381" i="1"/>
  <c r="M381" i="1" s="1"/>
  <c r="L382" i="1"/>
  <c r="M382" i="1" s="1"/>
  <c r="L383" i="1"/>
  <c r="M383" i="1" s="1"/>
  <c r="L384" i="1"/>
  <c r="M384" i="1" s="1"/>
  <c r="L385" i="1"/>
  <c r="M385" i="1" s="1"/>
  <c r="L386" i="1"/>
  <c r="M386" i="1" s="1"/>
  <c r="L387" i="1"/>
  <c r="M387" i="1" s="1"/>
  <c r="L388" i="1"/>
  <c r="M388" i="1" s="1"/>
  <c r="L389" i="1"/>
  <c r="M389" i="1" s="1"/>
  <c r="L390" i="1"/>
  <c r="M390" i="1" s="1"/>
  <c r="L391" i="1"/>
  <c r="M391" i="1" s="1"/>
  <c r="L392" i="1"/>
  <c r="M392" i="1" s="1"/>
  <c r="L393" i="1"/>
  <c r="M393" i="1" s="1"/>
  <c r="L394" i="1"/>
  <c r="M394" i="1" s="1"/>
  <c r="L395" i="1"/>
  <c r="M395" i="1" s="1"/>
  <c r="L396" i="1"/>
  <c r="M396" i="1" s="1"/>
  <c r="L397" i="1"/>
  <c r="M397" i="1" s="1"/>
  <c r="L398" i="1"/>
  <c r="M398" i="1" s="1"/>
  <c r="L399" i="1"/>
  <c r="M399" i="1" s="1"/>
  <c r="L400" i="1"/>
  <c r="M400" i="1" s="1"/>
  <c r="L401" i="1"/>
  <c r="M401" i="1" s="1"/>
  <c r="L402" i="1"/>
  <c r="M402" i="1" s="1"/>
  <c r="L403" i="1"/>
  <c r="M403" i="1" s="1"/>
  <c r="L404" i="1"/>
  <c r="M404" i="1" s="1"/>
  <c r="L405" i="1"/>
  <c r="M405" i="1" s="1"/>
  <c r="L406" i="1"/>
  <c r="M406" i="1" s="1"/>
  <c r="L407" i="1"/>
  <c r="M407" i="1" s="1"/>
  <c r="L408" i="1"/>
  <c r="M408" i="1" s="1"/>
  <c r="L409" i="1"/>
  <c r="M409" i="1" s="1"/>
  <c r="L410" i="1"/>
  <c r="M410" i="1" s="1"/>
  <c r="L411" i="1"/>
  <c r="M411" i="1" s="1"/>
  <c r="L412" i="1"/>
  <c r="M412" i="1" s="1"/>
  <c r="L413" i="1"/>
  <c r="M413" i="1" s="1"/>
  <c r="L414" i="1"/>
  <c r="M414" i="1" s="1"/>
  <c r="L415" i="1"/>
  <c r="M415" i="1" s="1"/>
  <c r="L416" i="1"/>
  <c r="M416" i="1" s="1"/>
  <c r="L417" i="1"/>
  <c r="M417" i="1" s="1"/>
  <c r="L418" i="1"/>
  <c r="M418" i="1" s="1"/>
  <c r="L419" i="1"/>
  <c r="M419" i="1" s="1"/>
  <c r="L420" i="1"/>
  <c r="M420" i="1" s="1"/>
  <c r="L421" i="1"/>
  <c r="M421" i="1" s="1"/>
  <c r="L422" i="1"/>
  <c r="M422" i="1" s="1"/>
  <c r="L423" i="1"/>
  <c r="M423" i="1" s="1"/>
  <c r="L424" i="1"/>
  <c r="M424" i="1" s="1"/>
  <c r="L425" i="1"/>
  <c r="M425" i="1" s="1"/>
  <c r="L426" i="1"/>
  <c r="M426" i="1" s="1"/>
  <c r="L427" i="1"/>
  <c r="M427" i="1" s="1"/>
  <c r="L428" i="1"/>
  <c r="M428" i="1" s="1"/>
  <c r="L429" i="1"/>
  <c r="M429" i="1" s="1"/>
  <c r="L430" i="1"/>
  <c r="M430" i="1" s="1"/>
  <c r="L431" i="1"/>
  <c r="M431" i="1" s="1"/>
  <c r="L432" i="1"/>
  <c r="M432" i="1" s="1"/>
  <c r="L433" i="1"/>
  <c r="M433" i="1" s="1"/>
  <c r="L434" i="1"/>
  <c r="M434" i="1" s="1"/>
  <c r="L435" i="1"/>
  <c r="M435" i="1" s="1"/>
  <c r="L436" i="1"/>
  <c r="M436" i="1" s="1"/>
  <c r="L437" i="1"/>
  <c r="M437" i="1" s="1"/>
  <c r="L438" i="1"/>
  <c r="M438" i="1" s="1"/>
  <c r="L439" i="1"/>
  <c r="M439" i="1" s="1"/>
  <c r="L440" i="1"/>
  <c r="M440" i="1" s="1"/>
  <c r="L441" i="1"/>
  <c r="M441" i="1" s="1"/>
  <c r="L442" i="1"/>
  <c r="M442" i="1" s="1"/>
  <c r="L443" i="1"/>
  <c r="M443" i="1" s="1"/>
  <c r="L444" i="1"/>
  <c r="M444" i="1" s="1"/>
  <c r="L445" i="1"/>
  <c r="M445" i="1" s="1"/>
  <c r="L446" i="1"/>
  <c r="M446" i="1" s="1"/>
  <c r="L447" i="1"/>
  <c r="M447" i="1" s="1"/>
  <c r="L448" i="1"/>
  <c r="M448" i="1" s="1"/>
  <c r="L449" i="1"/>
  <c r="M449" i="1" s="1"/>
  <c r="L450" i="1"/>
  <c r="M450" i="1" s="1"/>
  <c r="L451" i="1"/>
  <c r="M451" i="1" s="1"/>
  <c r="L452" i="1"/>
  <c r="M452" i="1" s="1"/>
  <c r="L453" i="1"/>
  <c r="M453" i="1" s="1"/>
  <c r="L454" i="1"/>
  <c r="M454" i="1" s="1"/>
  <c r="L455" i="1"/>
  <c r="M455" i="1" s="1"/>
  <c r="L456" i="1"/>
  <c r="M456" i="1" s="1"/>
  <c r="L457" i="1"/>
  <c r="M457" i="1" s="1"/>
  <c r="L458" i="1"/>
  <c r="M458" i="1" s="1"/>
  <c r="L459" i="1"/>
  <c r="M459" i="1" s="1"/>
  <c r="L460" i="1"/>
  <c r="M460" i="1" s="1"/>
  <c r="L461" i="1"/>
  <c r="M461" i="1" s="1"/>
  <c r="L462" i="1"/>
  <c r="M462" i="1" s="1"/>
  <c r="L463" i="1"/>
  <c r="M463" i="1" s="1"/>
  <c r="L464" i="1"/>
  <c r="M464" i="1" s="1"/>
  <c r="L465" i="1"/>
  <c r="M465" i="1" s="1"/>
  <c r="L466" i="1"/>
  <c r="M466" i="1" s="1"/>
  <c r="L467" i="1"/>
  <c r="M467" i="1" s="1"/>
  <c r="L468" i="1"/>
  <c r="M468" i="1" s="1"/>
  <c r="L469" i="1"/>
  <c r="M469" i="1" s="1"/>
  <c r="L470" i="1"/>
  <c r="M470" i="1" s="1"/>
  <c r="L471" i="1"/>
  <c r="M471" i="1" s="1"/>
  <c r="L472" i="1"/>
  <c r="M472" i="1" s="1"/>
  <c r="L473" i="1"/>
  <c r="M473" i="1" s="1"/>
  <c r="L474" i="1"/>
  <c r="M474" i="1" s="1"/>
  <c r="L475" i="1"/>
  <c r="M475" i="1" s="1"/>
  <c r="L476" i="1"/>
  <c r="M476" i="1" s="1"/>
  <c r="L477" i="1"/>
  <c r="M477" i="1" s="1"/>
  <c r="L478" i="1"/>
  <c r="M478" i="1" s="1"/>
  <c r="L479" i="1"/>
  <c r="M479" i="1" s="1"/>
  <c r="L480" i="1"/>
  <c r="M480" i="1" s="1"/>
  <c r="L481" i="1"/>
  <c r="M481" i="1" s="1"/>
  <c r="L482" i="1"/>
  <c r="M482" i="1" s="1"/>
  <c r="L483" i="1"/>
  <c r="M483" i="1" s="1"/>
  <c r="L484" i="1"/>
  <c r="M484" i="1" s="1"/>
  <c r="L485" i="1"/>
  <c r="M485" i="1" s="1"/>
  <c r="L486" i="1"/>
  <c r="M486" i="1" s="1"/>
  <c r="L487" i="1"/>
  <c r="M487" i="1" s="1"/>
  <c r="L488" i="1"/>
  <c r="M488" i="1" s="1"/>
  <c r="L489" i="1"/>
  <c r="M489" i="1" s="1"/>
  <c r="L490" i="1"/>
  <c r="M490" i="1" s="1"/>
  <c r="L491" i="1"/>
  <c r="M491" i="1" s="1"/>
  <c r="L492" i="1"/>
  <c r="M492" i="1" s="1"/>
  <c r="L493" i="1"/>
  <c r="M493" i="1" s="1"/>
  <c r="L494" i="1"/>
  <c r="M494" i="1" s="1"/>
  <c r="L495" i="1"/>
  <c r="M495" i="1" s="1"/>
  <c r="L496" i="1"/>
  <c r="M496" i="1" s="1"/>
  <c r="L497" i="1"/>
  <c r="M497" i="1" s="1"/>
  <c r="L498" i="1"/>
  <c r="M498" i="1" s="1"/>
  <c r="L499" i="1"/>
  <c r="M499" i="1" s="1"/>
  <c r="L500" i="1"/>
  <c r="M500" i="1" s="1"/>
  <c r="L501" i="1"/>
  <c r="M501" i="1" s="1"/>
  <c r="L502" i="1"/>
  <c r="M502" i="1" s="1"/>
  <c r="L503" i="1"/>
  <c r="M503" i="1" s="1"/>
  <c r="L504" i="1"/>
  <c r="M504" i="1" s="1"/>
  <c r="L505" i="1"/>
  <c r="M505" i="1" s="1"/>
  <c r="L506" i="1"/>
  <c r="M506" i="1" s="1"/>
  <c r="L507" i="1"/>
  <c r="M507" i="1" s="1"/>
  <c r="L508" i="1"/>
  <c r="M508" i="1" s="1"/>
  <c r="L509" i="1"/>
  <c r="M509" i="1" s="1"/>
  <c r="L510" i="1"/>
  <c r="M510" i="1" s="1"/>
  <c r="L511" i="1"/>
  <c r="M511" i="1" s="1"/>
  <c r="L512" i="1"/>
  <c r="M512" i="1" s="1"/>
  <c r="L513" i="1"/>
  <c r="M513" i="1" s="1"/>
  <c r="L514" i="1"/>
  <c r="M514" i="1" s="1"/>
  <c r="L515" i="1"/>
  <c r="M515" i="1" s="1"/>
  <c r="L516" i="1"/>
  <c r="M516" i="1" s="1"/>
  <c r="L517" i="1"/>
  <c r="M517" i="1" s="1"/>
  <c r="L518" i="1"/>
  <c r="M518" i="1" s="1"/>
  <c r="L519" i="1"/>
  <c r="M519" i="1" s="1"/>
  <c r="L520" i="1"/>
  <c r="M520" i="1" s="1"/>
  <c r="L521" i="1"/>
  <c r="M521" i="1" s="1"/>
  <c r="L522" i="1"/>
  <c r="M522" i="1" s="1"/>
  <c r="L523" i="1"/>
  <c r="M523" i="1" s="1"/>
  <c r="L524" i="1"/>
  <c r="M524" i="1" s="1"/>
  <c r="L525" i="1"/>
  <c r="M525" i="1" s="1"/>
  <c r="L526" i="1"/>
  <c r="M526" i="1" s="1"/>
  <c r="L527" i="1"/>
  <c r="M527" i="1" s="1"/>
  <c r="L528" i="1"/>
  <c r="M528" i="1" s="1"/>
  <c r="L529" i="1"/>
  <c r="M529" i="1" s="1"/>
  <c r="L530" i="1"/>
  <c r="M530" i="1" s="1"/>
  <c r="L531" i="1"/>
  <c r="M531" i="1" s="1"/>
  <c r="L532" i="1"/>
  <c r="M532" i="1" s="1"/>
  <c r="L533" i="1"/>
  <c r="M533" i="1" s="1"/>
  <c r="L534" i="1"/>
  <c r="M534" i="1" s="1"/>
  <c r="L535" i="1"/>
  <c r="M535" i="1" s="1"/>
  <c r="L536" i="1"/>
  <c r="M536" i="1" s="1"/>
  <c r="L537" i="1"/>
  <c r="M537" i="1" s="1"/>
  <c r="L538" i="1"/>
  <c r="M538" i="1" s="1"/>
  <c r="L539" i="1"/>
  <c r="M539" i="1" s="1"/>
  <c r="L540" i="1"/>
  <c r="M540" i="1" s="1"/>
  <c r="L541" i="1"/>
  <c r="M541" i="1" s="1"/>
  <c r="L542" i="1"/>
  <c r="M542" i="1" s="1"/>
  <c r="L543" i="1"/>
  <c r="M543" i="1" s="1"/>
  <c r="L544" i="1"/>
  <c r="M544" i="1" s="1"/>
  <c r="L545" i="1"/>
  <c r="M545" i="1" s="1"/>
  <c r="L546" i="1"/>
  <c r="M546" i="1" s="1"/>
  <c r="L547" i="1"/>
  <c r="M547" i="1" s="1"/>
  <c r="L548" i="1"/>
  <c r="M548" i="1" s="1"/>
  <c r="L549" i="1"/>
  <c r="M549" i="1" s="1"/>
  <c r="L550" i="1"/>
  <c r="M550" i="1" s="1"/>
  <c r="L551" i="1"/>
  <c r="M551" i="1" s="1"/>
  <c r="L552" i="1"/>
  <c r="M552" i="1" s="1"/>
  <c r="L553" i="1"/>
  <c r="M553" i="1" s="1"/>
  <c r="L554" i="1"/>
  <c r="M554" i="1" s="1"/>
  <c r="L555" i="1"/>
  <c r="M555" i="1" s="1"/>
  <c r="L556" i="1"/>
  <c r="M556" i="1" s="1"/>
  <c r="L557" i="1"/>
  <c r="M557" i="1" s="1"/>
  <c r="L558" i="1"/>
  <c r="M558" i="1" s="1"/>
  <c r="L559" i="1"/>
  <c r="M559" i="1" s="1"/>
  <c r="L560" i="1"/>
  <c r="M560" i="1" s="1"/>
  <c r="L561" i="1"/>
  <c r="M561" i="1" s="1"/>
  <c r="L562" i="1"/>
  <c r="M562" i="1" s="1"/>
  <c r="L563" i="1"/>
  <c r="M563" i="1" s="1"/>
  <c r="L564" i="1"/>
  <c r="M564" i="1" s="1"/>
  <c r="L565" i="1"/>
  <c r="M565" i="1" s="1"/>
  <c r="L566" i="1"/>
  <c r="M566" i="1" s="1"/>
  <c r="L567" i="1"/>
  <c r="M567" i="1" s="1"/>
  <c r="L568" i="1"/>
  <c r="M568" i="1" s="1"/>
  <c r="L569" i="1"/>
  <c r="M569" i="1" s="1"/>
  <c r="L570" i="1"/>
  <c r="M570" i="1" s="1"/>
  <c r="L571" i="1"/>
  <c r="M571" i="1" s="1"/>
  <c r="L572" i="1"/>
  <c r="M572" i="1" s="1"/>
  <c r="L573" i="1"/>
  <c r="M573" i="1" s="1"/>
  <c r="L574" i="1"/>
  <c r="M574" i="1" s="1"/>
  <c r="L575" i="1"/>
  <c r="M575" i="1" s="1"/>
  <c r="L576" i="1"/>
  <c r="M576" i="1" s="1"/>
  <c r="L577" i="1"/>
  <c r="M577" i="1" s="1"/>
  <c r="L578" i="1"/>
  <c r="M578" i="1" s="1"/>
  <c r="L579" i="1"/>
  <c r="M579" i="1" s="1"/>
  <c r="L580" i="1"/>
  <c r="M580" i="1" s="1"/>
  <c r="L581" i="1"/>
  <c r="M581" i="1" s="1"/>
  <c r="L582" i="1"/>
  <c r="M582" i="1" s="1"/>
  <c r="L583" i="1"/>
  <c r="M583" i="1" s="1"/>
  <c r="L584" i="1"/>
  <c r="M584" i="1" s="1"/>
  <c r="L585" i="1"/>
  <c r="M585" i="1" s="1"/>
  <c r="L586" i="1"/>
  <c r="M586" i="1" s="1"/>
  <c r="L587" i="1"/>
  <c r="M587" i="1" s="1"/>
  <c r="L588" i="1"/>
  <c r="M588" i="1" s="1"/>
  <c r="L589" i="1"/>
  <c r="M589" i="1" s="1"/>
  <c r="L590" i="1"/>
  <c r="M590" i="1" s="1"/>
  <c r="L591" i="1"/>
  <c r="M591" i="1" s="1"/>
  <c r="L592" i="1"/>
  <c r="M592" i="1" s="1"/>
  <c r="L593" i="1"/>
  <c r="M593" i="1" s="1"/>
  <c r="L594" i="1"/>
  <c r="M594" i="1" s="1"/>
  <c r="L595" i="1"/>
  <c r="M595" i="1" s="1"/>
  <c r="L596" i="1"/>
  <c r="M596" i="1" s="1"/>
  <c r="L597" i="1"/>
  <c r="M597" i="1" s="1"/>
  <c r="L598" i="1"/>
  <c r="M598" i="1" s="1"/>
  <c r="L599" i="1"/>
  <c r="M599" i="1" s="1"/>
  <c r="L600" i="1"/>
  <c r="M600" i="1" s="1"/>
  <c r="L601" i="1"/>
  <c r="M601" i="1" s="1"/>
  <c r="L602" i="1"/>
  <c r="M602" i="1" s="1"/>
  <c r="L603" i="1"/>
  <c r="M603" i="1" s="1"/>
  <c r="L604" i="1"/>
  <c r="M604" i="1" s="1"/>
  <c r="L605" i="1"/>
  <c r="M605" i="1" s="1"/>
  <c r="L606" i="1"/>
  <c r="M606" i="1" s="1"/>
  <c r="L607" i="1"/>
  <c r="M607" i="1" s="1"/>
  <c r="L608" i="1"/>
  <c r="M608" i="1" s="1"/>
  <c r="L609" i="1"/>
  <c r="M609" i="1" s="1"/>
  <c r="L610" i="1"/>
  <c r="M610" i="1" s="1"/>
  <c r="L611" i="1"/>
  <c r="M611" i="1" s="1"/>
  <c r="L612" i="1"/>
  <c r="M612" i="1" s="1"/>
  <c r="L613" i="1"/>
  <c r="M613" i="1" s="1"/>
  <c r="L614" i="1"/>
  <c r="M614" i="1" s="1"/>
  <c r="L615" i="1"/>
  <c r="M615" i="1" s="1"/>
  <c r="L616" i="1"/>
  <c r="M616" i="1" s="1"/>
  <c r="L617" i="1"/>
  <c r="M617" i="1" s="1"/>
  <c r="L618" i="1"/>
  <c r="M618" i="1" s="1"/>
  <c r="L619" i="1"/>
  <c r="M619" i="1" s="1"/>
  <c r="L620" i="1"/>
  <c r="M620" i="1" s="1"/>
  <c r="L621" i="1"/>
  <c r="M621" i="1" s="1"/>
  <c r="L622" i="1"/>
  <c r="M622" i="1" s="1"/>
  <c r="L623" i="1"/>
  <c r="M623" i="1" s="1"/>
  <c r="L624" i="1"/>
  <c r="M624" i="1" s="1"/>
  <c r="L625" i="1"/>
  <c r="M625" i="1" s="1"/>
  <c r="L626" i="1"/>
  <c r="M626" i="1" s="1"/>
  <c r="L627" i="1"/>
  <c r="M627" i="1" s="1"/>
  <c r="L628" i="1"/>
  <c r="M628" i="1" s="1"/>
  <c r="L629" i="1"/>
  <c r="M629" i="1" s="1"/>
  <c r="L630" i="1"/>
  <c r="M630" i="1" s="1"/>
  <c r="L631" i="1"/>
  <c r="M631" i="1" s="1"/>
  <c r="L632" i="1"/>
  <c r="M632" i="1" s="1"/>
  <c r="L633" i="1"/>
  <c r="M633" i="1" s="1"/>
  <c r="L634" i="1"/>
  <c r="M634" i="1" s="1"/>
  <c r="L635" i="1"/>
  <c r="M635" i="1" s="1"/>
  <c r="L636" i="1"/>
  <c r="M636" i="1" s="1"/>
  <c r="L637" i="1"/>
  <c r="M637" i="1" s="1"/>
  <c r="L638" i="1"/>
  <c r="M638" i="1" s="1"/>
  <c r="L639" i="1"/>
  <c r="M639" i="1" s="1"/>
  <c r="L640" i="1"/>
  <c r="M640" i="1" s="1"/>
  <c r="L641" i="1"/>
  <c r="M641" i="1" s="1"/>
  <c r="L642" i="1"/>
  <c r="M642" i="1" s="1"/>
  <c r="L643" i="1"/>
  <c r="M643" i="1" s="1"/>
  <c r="L644" i="1"/>
  <c r="M644" i="1" s="1"/>
  <c r="L645" i="1"/>
  <c r="M645" i="1" s="1"/>
  <c r="L646" i="1"/>
  <c r="M646" i="1" s="1"/>
  <c r="L647" i="1"/>
  <c r="M647" i="1" s="1"/>
  <c r="L648" i="1"/>
  <c r="M648" i="1" s="1"/>
  <c r="L649" i="1"/>
  <c r="M649" i="1" s="1"/>
  <c r="L650" i="1"/>
  <c r="M650" i="1" s="1"/>
  <c r="L651" i="1"/>
  <c r="M651" i="1" s="1"/>
  <c r="L652" i="1"/>
  <c r="M652" i="1" s="1"/>
  <c r="L653" i="1"/>
  <c r="M653" i="1" s="1"/>
  <c r="L654" i="1"/>
  <c r="M654" i="1" s="1"/>
  <c r="L655" i="1"/>
  <c r="M655" i="1" s="1"/>
  <c r="L656" i="1"/>
  <c r="M656" i="1" s="1"/>
  <c r="L657" i="1"/>
  <c r="M657" i="1" s="1"/>
  <c r="L658" i="1"/>
  <c r="M658" i="1" s="1"/>
  <c r="L659" i="1"/>
  <c r="M659" i="1" s="1"/>
  <c r="L660" i="1"/>
  <c r="M660" i="1" s="1"/>
  <c r="L661" i="1"/>
  <c r="M661" i="1" s="1"/>
  <c r="L662" i="1"/>
  <c r="M662" i="1" s="1"/>
  <c r="L663" i="1"/>
  <c r="M663" i="1" s="1"/>
  <c r="L664" i="1"/>
  <c r="M664" i="1" s="1"/>
  <c r="L665" i="1"/>
  <c r="M665" i="1" s="1"/>
  <c r="L666" i="1"/>
  <c r="M666" i="1" s="1"/>
  <c r="L667" i="1"/>
  <c r="M667" i="1" s="1"/>
  <c r="L668" i="1"/>
  <c r="M668" i="1" s="1"/>
  <c r="L669" i="1"/>
  <c r="M669" i="1" s="1"/>
  <c r="L670" i="1"/>
  <c r="M670" i="1" s="1"/>
  <c r="L671" i="1"/>
  <c r="M671" i="1" s="1"/>
  <c r="L672" i="1"/>
  <c r="M672" i="1" s="1"/>
  <c r="L673" i="1"/>
  <c r="M673" i="1" s="1"/>
  <c r="L674" i="1"/>
  <c r="M674" i="1" s="1"/>
  <c r="L675" i="1"/>
  <c r="M675" i="1" s="1"/>
  <c r="L676" i="1"/>
  <c r="M676" i="1" s="1"/>
  <c r="L677" i="1"/>
  <c r="M677" i="1" s="1"/>
  <c r="L678" i="1"/>
  <c r="M678" i="1" s="1"/>
  <c r="L679" i="1"/>
  <c r="M679" i="1" s="1"/>
  <c r="L680" i="1"/>
  <c r="M680" i="1" s="1"/>
  <c r="L681" i="1"/>
  <c r="M681" i="1" s="1"/>
  <c r="L682" i="1"/>
  <c r="M682" i="1" s="1"/>
  <c r="L683" i="1"/>
  <c r="M683" i="1" s="1"/>
  <c r="L684" i="1"/>
  <c r="M684" i="1" s="1"/>
  <c r="L685" i="1"/>
  <c r="M685" i="1" s="1"/>
  <c r="L686" i="1"/>
  <c r="M686" i="1" s="1"/>
  <c r="L687" i="1"/>
  <c r="M687" i="1" s="1"/>
  <c r="L688" i="1"/>
  <c r="M688" i="1" s="1"/>
  <c r="L689" i="1"/>
  <c r="M689" i="1" s="1"/>
  <c r="L690" i="1"/>
  <c r="M690" i="1" s="1"/>
  <c r="L691" i="1"/>
  <c r="M691" i="1" s="1"/>
  <c r="L692" i="1"/>
  <c r="M692" i="1" s="1"/>
  <c r="L693" i="1"/>
  <c r="M693" i="1" s="1"/>
  <c r="L694" i="1"/>
  <c r="M694" i="1" s="1"/>
  <c r="L695" i="1"/>
  <c r="M695" i="1" s="1"/>
  <c r="L696" i="1"/>
  <c r="M696" i="1" s="1"/>
  <c r="L697" i="1"/>
  <c r="M697" i="1" s="1"/>
  <c r="L698" i="1"/>
  <c r="M698" i="1" s="1"/>
  <c r="L699" i="1"/>
  <c r="M699" i="1" s="1"/>
  <c r="L700" i="1"/>
  <c r="M700" i="1" s="1"/>
  <c r="L701" i="1"/>
  <c r="M701" i="1" s="1"/>
  <c r="L702" i="1"/>
  <c r="M702" i="1" s="1"/>
  <c r="L703" i="1"/>
  <c r="M703" i="1" s="1"/>
  <c r="L704" i="1"/>
  <c r="M704" i="1" s="1"/>
  <c r="L705" i="1"/>
  <c r="M705" i="1" s="1"/>
  <c r="L706" i="1"/>
  <c r="M706" i="1" s="1"/>
  <c r="L707" i="1"/>
  <c r="M707" i="1" s="1"/>
  <c r="L708" i="1"/>
  <c r="M708" i="1" s="1"/>
  <c r="L709" i="1"/>
  <c r="M709" i="1" s="1"/>
  <c r="L710" i="1"/>
  <c r="M710" i="1" s="1"/>
  <c r="L711" i="1"/>
  <c r="M711" i="1" s="1"/>
  <c r="L712" i="1"/>
  <c r="M712" i="1" s="1"/>
  <c r="L713" i="1"/>
  <c r="M713" i="1" s="1"/>
  <c r="L714" i="1"/>
  <c r="M714" i="1" s="1"/>
  <c r="L715" i="1"/>
  <c r="M715" i="1" s="1"/>
  <c r="L716" i="1"/>
  <c r="M716" i="1" s="1"/>
  <c r="L717" i="1"/>
  <c r="M717" i="1" s="1"/>
  <c r="L718" i="1"/>
  <c r="M718" i="1" s="1"/>
  <c r="L719" i="1"/>
  <c r="M719" i="1" s="1"/>
  <c r="L720" i="1"/>
  <c r="M720" i="1" s="1"/>
  <c r="L721" i="1"/>
  <c r="M721" i="1" s="1"/>
  <c r="L722" i="1"/>
  <c r="M722" i="1" s="1"/>
  <c r="L723" i="1"/>
  <c r="M723" i="1" s="1"/>
  <c r="L724" i="1"/>
  <c r="M724" i="1" s="1"/>
  <c r="L725" i="1"/>
  <c r="M725" i="1" s="1"/>
  <c r="L726" i="1"/>
  <c r="M726" i="1" s="1"/>
  <c r="L727" i="1"/>
  <c r="M727" i="1" s="1"/>
  <c r="L728" i="1"/>
  <c r="M728" i="1" s="1"/>
  <c r="L729" i="1"/>
  <c r="M729" i="1" s="1"/>
  <c r="L730" i="1"/>
  <c r="M730" i="1" s="1"/>
  <c r="L731" i="1"/>
  <c r="M731" i="1" s="1"/>
  <c r="L732" i="1"/>
  <c r="M732" i="1" s="1"/>
  <c r="L733" i="1"/>
  <c r="M733" i="1" s="1"/>
  <c r="L734" i="1"/>
  <c r="M734" i="1" s="1"/>
  <c r="L735" i="1"/>
  <c r="M735" i="1" s="1"/>
  <c r="L736" i="1"/>
  <c r="M736" i="1" s="1"/>
  <c r="L737" i="1"/>
  <c r="M737" i="1" s="1"/>
  <c r="L738" i="1"/>
  <c r="M738" i="1" s="1"/>
  <c r="L739" i="1"/>
  <c r="M739" i="1" s="1"/>
  <c r="L740" i="1"/>
  <c r="M740" i="1" s="1"/>
  <c r="L741" i="1"/>
  <c r="M741" i="1" s="1"/>
  <c r="L742" i="1"/>
  <c r="M742" i="1" s="1"/>
  <c r="L743" i="1"/>
  <c r="M743" i="1" s="1"/>
  <c r="L744" i="1"/>
  <c r="M744" i="1" s="1"/>
  <c r="L745" i="1"/>
  <c r="M745" i="1" s="1"/>
  <c r="L746" i="1"/>
  <c r="M746" i="1" s="1"/>
  <c r="L747" i="1"/>
  <c r="M747" i="1" s="1"/>
  <c r="L748" i="1"/>
  <c r="M748" i="1" s="1"/>
  <c r="L749" i="1"/>
  <c r="M749" i="1" s="1"/>
  <c r="L750" i="1"/>
  <c r="M750" i="1" s="1"/>
  <c r="L751" i="1"/>
  <c r="M751" i="1" s="1"/>
  <c r="L752" i="1"/>
  <c r="M752" i="1" s="1"/>
  <c r="L753" i="1"/>
  <c r="M753" i="1" s="1"/>
  <c r="L754" i="1"/>
  <c r="M754" i="1" s="1"/>
  <c r="L755" i="1"/>
  <c r="M755" i="1" s="1"/>
  <c r="L756" i="1"/>
  <c r="M756" i="1" s="1"/>
  <c r="L757" i="1"/>
  <c r="M757" i="1" s="1"/>
  <c r="L758" i="1"/>
  <c r="M758" i="1" s="1"/>
  <c r="L759" i="1"/>
  <c r="M759" i="1" s="1"/>
  <c r="L760" i="1"/>
  <c r="M760" i="1" s="1"/>
  <c r="L761" i="1"/>
  <c r="M761" i="1" s="1"/>
  <c r="L762" i="1"/>
  <c r="M762" i="1" s="1"/>
  <c r="L763" i="1"/>
  <c r="M763" i="1" s="1"/>
  <c r="L764" i="1"/>
  <c r="M764" i="1" s="1"/>
  <c r="L765" i="1"/>
  <c r="M765" i="1" s="1"/>
  <c r="L766" i="1"/>
  <c r="M766" i="1" s="1"/>
  <c r="L767" i="1"/>
  <c r="M767" i="1" s="1"/>
  <c r="L768" i="1"/>
  <c r="M768" i="1" s="1"/>
  <c r="L769" i="1"/>
  <c r="M769" i="1" s="1"/>
  <c r="L770" i="1"/>
  <c r="M770" i="1" s="1"/>
  <c r="L771" i="1"/>
  <c r="M771" i="1" s="1"/>
  <c r="L772" i="1"/>
  <c r="M772" i="1" s="1"/>
  <c r="L773" i="1"/>
  <c r="M773" i="1" s="1"/>
  <c r="L774" i="1"/>
  <c r="M774" i="1" s="1"/>
  <c r="L775" i="1"/>
  <c r="M775" i="1" s="1"/>
  <c r="L776" i="1"/>
  <c r="M776" i="1" s="1"/>
  <c r="L777" i="1"/>
  <c r="M777" i="1" s="1"/>
  <c r="L778" i="1"/>
  <c r="M778" i="1" s="1"/>
  <c r="L779" i="1"/>
  <c r="M779" i="1" s="1"/>
  <c r="L780" i="1"/>
  <c r="M780" i="1" s="1"/>
  <c r="L781" i="1"/>
  <c r="M781" i="1" s="1"/>
  <c r="L782" i="1"/>
  <c r="M782" i="1" s="1"/>
  <c r="L783" i="1"/>
  <c r="M783" i="1" s="1"/>
  <c r="L784" i="1"/>
  <c r="M784" i="1" s="1"/>
  <c r="L785" i="1"/>
  <c r="M785" i="1" s="1"/>
  <c r="L786" i="1"/>
  <c r="M786" i="1" s="1"/>
  <c r="L787" i="1"/>
  <c r="M787" i="1" s="1"/>
  <c r="L788" i="1"/>
  <c r="M788" i="1" s="1"/>
  <c r="L789" i="1"/>
  <c r="M789" i="1" s="1"/>
  <c r="L790" i="1"/>
  <c r="M790" i="1" s="1"/>
  <c r="L791" i="1"/>
  <c r="M791" i="1" s="1"/>
  <c r="L792" i="1"/>
  <c r="M792" i="1" s="1"/>
  <c r="L793" i="1"/>
  <c r="M793" i="1" s="1"/>
  <c r="L794" i="1"/>
  <c r="M794" i="1" s="1"/>
  <c r="L795" i="1"/>
  <c r="M795" i="1" s="1"/>
  <c r="L796" i="1"/>
  <c r="M796" i="1" s="1"/>
  <c r="L797" i="1"/>
  <c r="M797" i="1" s="1"/>
  <c r="L798" i="1"/>
  <c r="M798" i="1" s="1"/>
  <c r="L799" i="1"/>
  <c r="M799" i="1" s="1"/>
  <c r="L800" i="1"/>
  <c r="M800" i="1" s="1"/>
  <c r="L801" i="1"/>
  <c r="M801" i="1" s="1"/>
  <c r="L802" i="1"/>
  <c r="M802" i="1" s="1"/>
  <c r="L803" i="1"/>
  <c r="M803" i="1" s="1"/>
  <c r="L804" i="1"/>
  <c r="M804" i="1" s="1"/>
  <c r="V14" i="8"/>
  <c r="C12" i="8"/>
  <c r="AH6" i="8"/>
  <c r="V13" i="8"/>
  <c r="C11" i="8"/>
  <c r="V12" i="8"/>
  <c r="W13" i="8" l="1"/>
  <c r="W12" i="8"/>
  <c r="W14" i="8"/>
  <c r="C13" i="8"/>
  <c r="D12" i="8" s="1"/>
  <c r="E12" i="8" s="1"/>
  <c r="P12" i="8"/>
  <c r="Q14" i="8"/>
  <c r="Q16" i="8"/>
  <c r="Q15" i="8"/>
  <c r="Q13" i="8"/>
  <c r="D11" i="8" l="1"/>
  <c r="E11" i="8" s="1"/>
</calcChain>
</file>

<file path=xl/sharedStrings.xml><?xml version="1.0" encoding="utf-8"?>
<sst xmlns="http://schemas.openxmlformats.org/spreadsheetml/2006/main" count="5694" uniqueCount="473">
  <si>
    <t>Nome</t>
  </si>
  <si>
    <t>Gênero</t>
  </si>
  <si>
    <t>CPF</t>
  </si>
  <si>
    <t>Nivel de Estudos</t>
  </si>
  <si>
    <t>Data Nascimento</t>
  </si>
  <si>
    <t>Feminino</t>
  </si>
  <si>
    <t>Masculino</t>
  </si>
  <si>
    <t>Superior</t>
  </si>
  <si>
    <t>Pós-Graduação</t>
  </si>
  <si>
    <t>Esportes</t>
  </si>
  <si>
    <t>Interesse/Hobbie</t>
  </si>
  <si>
    <t>Política</t>
  </si>
  <si>
    <t>Agronegócio</t>
  </si>
  <si>
    <t>Negócios</t>
  </si>
  <si>
    <t>Finanças</t>
  </si>
  <si>
    <t>Lucas Oliveira</t>
  </si>
  <si>
    <t>Ana Silva</t>
  </si>
  <si>
    <t>Mateus Almeida</t>
  </si>
  <si>
    <t>Juliana Santos</t>
  </si>
  <si>
    <t>Bruno Pereira</t>
  </si>
  <si>
    <t>Amanda Costa</t>
  </si>
  <si>
    <t>Pedro Rodrigues</t>
  </si>
  <si>
    <t>Isabela Martins</t>
  </si>
  <si>
    <t>Rafael Ferreira</t>
  </si>
  <si>
    <t>Mariana Souza</t>
  </si>
  <si>
    <t>Gabriel Lima</t>
  </si>
  <si>
    <t>Carolina Gomes</t>
  </si>
  <si>
    <t>Thiago Barbosa</t>
  </si>
  <si>
    <t>Giovanna Oliveira</t>
  </si>
  <si>
    <t>Felipe Alves</t>
  </si>
  <si>
    <t>Laura Ribeiro</t>
  </si>
  <si>
    <t>Daniel Santos</t>
  </si>
  <si>
    <t>Beatriz Castro</t>
  </si>
  <si>
    <t>Rodrigo Oliveira Mendes</t>
  </si>
  <si>
    <t>Maria das Graças Silva</t>
  </si>
  <si>
    <t>Matheus Almeida Santos</t>
  </si>
  <si>
    <t>Juliana de Souza Oliveira</t>
  </si>
  <si>
    <t>Bruno Pereira Rodrigues</t>
  </si>
  <si>
    <t>Amanda Costa Almeida</t>
  </si>
  <si>
    <t>Pedro Rodrigues Martins</t>
  </si>
  <si>
    <t>Isabela Martins Pereira</t>
  </si>
  <si>
    <t>Rafael Ferreira Lima</t>
  </si>
  <si>
    <t>Mariana Souza Oliveira</t>
  </si>
  <si>
    <t>Gabriel Lima Almeida</t>
  </si>
  <si>
    <t>Carolina Gomes Rodrigues</t>
  </si>
  <si>
    <t>Thiago Barbosa Santos</t>
  </si>
  <si>
    <t>Giovanna Oliveira Martins</t>
  </si>
  <si>
    <t>Felipe Alves Pereira</t>
  </si>
  <si>
    <t>Laura Ribeiro Lima</t>
  </si>
  <si>
    <t>Daniel Santos Gomes</t>
  </si>
  <si>
    <t>Beatriz Castro Oliveira</t>
  </si>
  <si>
    <t>José Oliveira</t>
  </si>
  <si>
    <t>Ana Pereira</t>
  </si>
  <si>
    <t>João Almeida</t>
  </si>
  <si>
    <t>Maria Santos</t>
  </si>
  <si>
    <t>Antônio Silva</t>
  </si>
  <si>
    <t>Patrícia Costa</t>
  </si>
  <si>
    <t>Luiz Rodrigues</t>
  </si>
  <si>
    <t>Júlia Martins</t>
  </si>
  <si>
    <t>Carlos Ferreira</t>
  </si>
  <si>
    <t>Sandra Souza</t>
  </si>
  <si>
    <t>André Lima</t>
  </si>
  <si>
    <t>Fernanda Gomes</t>
  </si>
  <si>
    <t>Ricardo Barbosa</t>
  </si>
  <si>
    <t>Camila Oliveira</t>
  </si>
  <si>
    <t>Marcelo Silva</t>
  </si>
  <si>
    <t>Vanessa Costa</t>
  </si>
  <si>
    <t>Eduardo Rodrigues</t>
  </si>
  <si>
    <t>Débora Martins</t>
  </si>
  <si>
    <t>Fernando Ferreira</t>
  </si>
  <si>
    <t>Amanda Souza</t>
  </si>
  <si>
    <t>Paulo Lima</t>
  </si>
  <si>
    <t>Letícia Gomes</t>
  </si>
  <si>
    <t>Marcos Barbosa</t>
  </si>
  <si>
    <t>Fabiana Oliveira</t>
  </si>
  <si>
    <t>Felipe Pereira</t>
  </si>
  <si>
    <t>Renata Santos</t>
  </si>
  <si>
    <t>Lucas Fernandes</t>
  </si>
  <si>
    <t>Maria Alencar</t>
  </si>
  <si>
    <t>Gustavo Neves</t>
  </si>
  <si>
    <t>Laura Mendes</t>
  </si>
  <si>
    <t>Rodrigo Torres</t>
  </si>
  <si>
    <t>Clara Almeida</t>
  </si>
  <si>
    <t>Henrique Freitas</t>
  </si>
  <si>
    <t>Amanda Oliveira</t>
  </si>
  <si>
    <t>André Castro</t>
  </si>
  <si>
    <t>Carolina Lima</t>
  </si>
  <si>
    <t>Daniel Pereira</t>
  </si>
  <si>
    <t>Beatriz Ramos</t>
  </si>
  <si>
    <t>Felipe Costa</t>
  </si>
  <si>
    <t>Isabela Carvalho</t>
  </si>
  <si>
    <t>José da Silva</t>
  </si>
  <si>
    <t>José Santos</t>
  </si>
  <si>
    <t>José Pereira</t>
  </si>
  <si>
    <t>José Alves</t>
  </si>
  <si>
    <t>José Rodrigues</t>
  </si>
  <si>
    <t>José Fernandes</t>
  </si>
  <si>
    <t>José Costa</t>
  </si>
  <si>
    <t>José Martins</t>
  </si>
  <si>
    <t>José Gomes</t>
  </si>
  <si>
    <t>Pedro Almeida</t>
  </si>
  <si>
    <t>Pedro Santos</t>
  </si>
  <si>
    <t>Pedro Oliveira</t>
  </si>
  <si>
    <t>Pedro Silva</t>
  </si>
  <si>
    <t>Pedro Costa</t>
  </si>
  <si>
    <t>Pedro Fernandes</t>
  </si>
  <si>
    <t>Pedro Martins</t>
  </si>
  <si>
    <t>Pedro Gomes</t>
  </si>
  <si>
    <t>Pedro Pereira</t>
  </si>
  <si>
    <t>Mariana Almeida</t>
  </si>
  <si>
    <t>Mariana Oliveira</t>
  </si>
  <si>
    <t>Mariana Santos</t>
  </si>
  <si>
    <t>Mariana Pereira</t>
  </si>
  <si>
    <t>Mariana Costa</t>
  </si>
  <si>
    <t>Mariana Rodrigues</t>
  </si>
  <si>
    <t>Mariana Fernandes</t>
  </si>
  <si>
    <t>Mariana Silva</t>
  </si>
  <si>
    <t>Mariana Martins</t>
  </si>
  <si>
    <t>Mariana Gomes</t>
  </si>
  <si>
    <t>Rafael Silva</t>
  </si>
  <si>
    <t>Rafael Oliveira</t>
  </si>
  <si>
    <t>Rafael Santos</t>
  </si>
  <si>
    <t>Rafael Almeida</t>
  </si>
  <si>
    <t>Rafael Costa</t>
  </si>
  <si>
    <t>Rafael Rodrigues</t>
  </si>
  <si>
    <t>Rafael Fernandes</t>
  </si>
  <si>
    <t>Rafael Pereira</t>
  </si>
  <si>
    <t>Rafael Martins</t>
  </si>
  <si>
    <t>Rafael Gomes</t>
  </si>
  <si>
    <t>William Santos</t>
  </si>
  <si>
    <t>William Oliveira</t>
  </si>
  <si>
    <t>William Silva</t>
  </si>
  <si>
    <t>William Almeida</t>
  </si>
  <si>
    <t>William Costa</t>
  </si>
  <si>
    <t>William Rodrigues</t>
  </si>
  <si>
    <t>William Fernandes</t>
  </si>
  <si>
    <t>William Pereira</t>
  </si>
  <si>
    <t>William Martins</t>
  </si>
  <si>
    <t>William Gomes</t>
  </si>
  <si>
    <t>Bruno Oliveira</t>
  </si>
  <si>
    <t>Bruno Silva</t>
  </si>
  <si>
    <t>Bruno Santos</t>
  </si>
  <si>
    <t>Bruno Almeida</t>
  </si>
  <si>
    <t>Bruno Costa</t>
  </si>
  <si>
    <t>Bruno Rodrigues</t>
  </si>
  <si>
    <t>Bruno Fernandes</t>
  </si>
  <si>
    <t>Bruno Martins</t>
  </si>
  <si>
    <t>Bruno Gomes</t>
  </si>
  <si>
    <t>Bernardo Almeida</t>
  </si>
  <si>
    <t>Bernardo Oliveira</t>
  </si>
  <si>
    <t>Bernardo Santos</t>
  </si>
  <si>
    <t>Bernardo Silva</t>
  </si>
  <si>
    <t>Bernardo Costa</t>
  </si>
  <si>
    <t>Bernardo Rodrigues</t>
  </si>
  <si>
    <t>Bernardo Fernandes</t>
  </si>
  <si>
    <t>Bernardo Pereira</t>
  </si>
  <si>
    <t>Bernardo Martins</t>
  </si>
  <si>
    <t>Bernardo Gomes</t>
  </si>
  <si>
    <t>Renata Oliveira</t>
  </si>
  <si>
    <t>Renata Silva</t>
  </si>
  <si>
    <t>Renata Almeida</t>
  </si>
  <si>
    <t>Renata Costa</t>
  </si>
  <si>
    <t>Renata Rodrigues</t>
  </si>
  <si>
    <t>Renata Fernandes</t>
  </si>
  <si>
    <t>Renata Pereira</t>
  </si>
  <si>
    <t>Renata Martins</t>
  </si>
  <si>
    <t>Renata Gomes</t>
  </si>
  <si>
    <t>Emerson Santos</t>
  </si>
  <si>
    <t>Emerson Oliveira</t>
  </si>
  <si>
    <t>Emerson Silva</t>
  </si>
  <si>
    <t>Emerson Almeida</t>
  </si>
  <si>
    <t>Emerson Costa</t>
  </si>
  <si>
    <t>Emerson Rodrigues</t>
  </si>
  <si>
    <t>Emerson Fernandes</t>
  </si>
  <si>
    <t>Emerson Pereira</t>
  </si>
  <si>
    <t>Emerson Martins</t>
  </si>
  <si>
    <t>Emerson Gomes</t>
  </si>
  <si>
    <t>Vilma Oliveira</t>
  </si>
  <si>
    <t>Vilma Santos</t>
  </si>
  <si>
    <t>Vilma Silva</t>
  </si>
  <si>
    <t>Vilma Almeida</t>
  </si>
  <si>
    <t>Vilma Costa</t>
  </si>
  <si>
    <t>Vilma Rodrigues</t>
  </si>
  <si>
    <t>Vilma Fernandes</t>
  </si>
  <si>
    <t>Vilma Pereira</t>
  </si>
  <si>
    <t>Vilma Martins</t>
  </si>
  <si>
    <t>Vilma Gomes</t>
  </si>
  <si>
    <t>Sandra Santos</t>
  </si>
  <si>
    <t>Sandra Oliveira</t>
  </si>
  <si>
    <t>Sandra Silva</t>
  </si>
  <si>
    <t>Sandra Almeida</t>
  </si>
  <si>
    <t>Sandra Costa</t>
  </si>
  <si>
    <t>Sandra Rodrigues</t>
  </si>
  <si>
    <t>Sandra Fernandes</t>
  </si>
  <si>
    <t>Sandra Pereira</t>
  </si>
  <si>
    <t>Sandra Martins</t>
  </si>
  <si>
    <t>Sandra Gomes</t>
  </si>
  <si>
    <t>Rita Oliveira</t>
  </si>
  <si>
    <t>Rita Santos</t>
  </si>
  <si>
    <t>Rita Silva</t>
  </si>
  <si>
    <t>Rita Almeida</t>
  </si>
  <si>
    <t>Rita Costa</t>
  </si>
  <si>
    <t>Rita Rodrigues</t>
  </si>
  <si>
    <t>Rita Fernandes</t>
  </si>
  <si>
    <t>Rita Pereira</t>
  </si>
  <si>
    <t>Rita Martins</t>
  </si>
  <si>
    <t>Rita Gomes</t>
  </si>
  <si>
    <t>Marcelo Santos</t>
  </si>
  <si>
    <t>Marcelo Oliveira</t>
  </si>
  <si>
    <t>Marcelo Almeida</t>
  </si>
  <si>
    <t>Marcelo Costa</t>
  </si>
  <si>
    <t>Marcelo Rodrigues</t>
  </si>
  <si>
    <t>Marcelo Fernandes</t>
  </si>
  <si>
    <t>Marcelo Pereira</t>
  </si>
  <si>
    <t>Marcelo Martins</t>
  </si>
  <si>
    <t>Marcelo Gomes</t>
  </si>
  <si>
    <t>Jackson Smith</t>
  </si>
  <si>
    <t>Emma Johnson</t>
  </si>
  <si>
    <t>Liam Williams</t>
  </si>
  <si>
    <t>Olivia Brown</t>
  </si>
  <si>
    <t>Noah Jones</t>
  </si>
  <si>
    <t>Ava Davis</t>
  </si>
  <si>
    <t>Lucas Miller</t>
  </si>
  <si>
    <t>Sophia Wilson</t>
  </si>
  <si>
    <t>Benjamin Moore</t>
  </si>
  <si>
    <t>Isabella Taylor</t>
  </si>
  <si>
    <t>Mason Anderson</t>
  </si>
  <si>
    <t>Mia Thomas</t>
  </si>
  <si>
    <t>Ethan White</t>
  </si>
  <si>
    <t>Harper Martinez</t>
  </si>
  <si>
    <t>Oliver Thompson</t>
  </si>
  <si>
    <t>Amelia Garcia</t>
  </si>
  <si>
    <t>Elijah Hernandez</t>
  </si>
  <si>
    <t>Charlotte Robinson</t>
  </si>
  <si>
    <t>Alexander Lewis</t>
  </si>
  <si>
    <t>Abigail Clark</t>
  </si>
  <si>
    <t>James Lee</t>
  </si>
  <si>
    <t>Evelyn Walker</t>
  </si>
  <si>
    <t>Michael Hall</t>
  </si>
  <si>
    <t>Elizabeth Young</t>
  </si>
  <si>
    <t>William Allen</t>
  </si>
  <si>
    <t>Sofia King</t>
  </si>
  <si>
    <t>Daniel Baker</t>
  </si>
  <si>
    <t>Emily Wright</t>
  </si>
  <si>
    <t>Henry Adams</t>
  </si>
  <si>
    <t>Grace Hill</t>
  </si>
  <si>
    <t>Samuel Nelson</t>
  </si>
  <si>
    <t>Madison Green</t>
  </si>
  <si>
    <t>David Carter</t>
  </si>
  <si>
    <t>Scarlett Mitchell</t>
  </si>
  <si>
    <t>Joseph Perez</t>
  </si>
  <si>
    <t>Avery Roberts</t>
  </si>
  <si>
    <t>Gabriel Evans</t>
  </si>
  <si>
    <t>Victoria Murphy</t>
  </si>
  <si>
    <t>John Cook</t>
  </si>
  <si>
    <t>Lily Cooper</t>
  </si>
  <si>
    <t>Christopher Ross</t>
  </si>
  <si>
    <t>Aria Rivera</t>
  </si>
  <si>
    <t>Matthew Ward</t>
  </si>
  <si>
    <t>Layla Torres</t>
  </si>
  <si>
    <t>Andrew Brooks</t>
  </si>
  <si>
    <t>Zoey Ramirez</t>
  </si>
  <si>
    <t>Joshua Reed</t>
  </si>
  <si>
    <t>Penelope Bailey</t>
  </si>
  <si>
    <t>Ryan Foster</t>
  </si>
  <si>
    <t>Chloe Coleman</t>
  </si>
  <si>
    <t>Nathan Bennett</t>
  </si>
  <si>
    <t>Nora Collins</t>
  </si>
  <si>
    <t>Dylan Bell</t>
  </si>
  <si>
    <t>Harper Reed</t>
  </si>
  <si>
    <t>Jonathan Phillips</t>
  </si>
  <si>
    <t>Stella Ross</t>
  </si>
  <si>
    <t>Caleb Reed</t>
  </si>
  <si>
    <t>Ellie Hayes</t>
  </si>
  <si>
    <t>Isaac Henderson</t>
  </si>
  <si>
    <t>Samantha Price</t>
  </si>
  <si>
    <t>Owen Watson</t>
  </si>
  <si>
    <t>Leah Sanders</t>
  </si>
  <si>
    <t>Zachary Simmons</t>
  </si>
  <si>
    <t>Ruby Perry</t>
  </si>
  <si>
    <t>Dominic Murphy</t>
  </si>
  <si>
    <t>Claire Long</t>
  </si>
  <si>
    <t>Lincoln Hughes</t>
  </si>
  <si>
    <t>Maya Watson</t>
  </si>
  <si>
    <t>Julian Russell</t>
  </si>
  <si>
    <t>Hazel Myers</t>
  </si>
  <si>
    <t>Hunter Sullivan</t>
  </si>
  <si>
    <t>Lucy Brooks</t>
  </si>
  <si>
    <t>Aaron Perry</t>
  </si>
  <si>
    <t>Audrey Brooks</t>
  </si>
  <si>
    <t>Eli Parker</t>
  </si>
  <si>
    <t>Skylar Turner</t>
  </si>
  <si>
    <t>Levi Sanders</t>
  </si>
  <si>
    <t>Addison Ward</t>
  </si>
  <si>
    <t>Christian Bennett</t>
  </si>
  <si>
    <t>Paisley King</t>
  </si>
  <si>
    <t>Landon Gray</t>
  </si>
  <si>
    <t>Naomi Carter</t>
  </si>
  <si>
    <t>Connor Wood</t>
  </si>
  <si>
    <t>Eliana Ramirez</t>
  </si>
  <si>
    <t>Cameron Coleman</t>
  </si>
  <si>
    <t>Eva Foster</t>
  </si>
  <si>
    <t>Jordan Hayes</t>
  </si>
  <si>
    <t>Isabelle Howard</t>
  </si>
  <si>
    <t>Robert Watson</t>
  </si>
  <si>
    <t>Serenity Morris</t>
  </si>
  <si>
    <t>Thomas Barnes</t>
  </si>
  <si>
    <t>Gabriella Price</t>
  </si>
  <si>
    <t>Nicholas Foster</t>
  </si>
  <si>
    <t>Autumn Brooks</t>
  </si>
  <si>
    <t>Lincoln Powell</t>
  </si>
  <si>
    <t>Eva Powell</t>
  </si>
  <si>
    <t>Tristan Perry</t>
  </si>
  <si>
    <t>Rylee Fisher</t>
  </si>
  <si>
    <t>Adrian Brooks</t>
  </si>
  <si>
    <t>Eliza Hayes</t>
  </si>
  <si>
    <t>Alejandro Garcia</t>
  </si>
  <si>
    <t>Sofia Martinez</t>
  </si>
  <si>
    <t>Juan Hernandez</t>
  </si>
  <si>
    <t>Valentina Rodriguez</t>
  </si>
  <si>
    <t>Carlos Lopez</t>
  </si>
  <si>
    <t>Isabella Gonzalez</t>
  </si>
  <si>
    <t>Miguel Perez</t>
  </si>
  <si>
    <t>Lucia Sanchez</t>
  </si>
  <si>
    <t>Diego Ramirez</t>
  </si>
  <si>
    <t>Camila Torres</t>
  </si>
  <si>
    <t>Jose Flores</t>
  </si>
  <si>
    <t>Emma Cruz</t>
  </si>
  <si>
    <t>Luis Reyes</t>
  </si>
  <si>
    <t>Elena Morales</t>
  </si>
  <si>
    <t>Jesus Castro</t>
  </si>
  <si>
    <t>Ana Ruiz</t>
  </si>
  <si>
    <t>Javier Diaz</t>
  </si>
  <si>
    <t>Mariana Ortiz</t>
  </si>
  <si>
    <t>Jorge Vazquez</t>
  </si>
  <si>
    <t>Natalia Jimenez</t>
  </si>
  <si>
    <t>Francisco Morales</t>
  </si>
  <si>
    <t>Adriana Silva</t>
  </si>
  <si>
    <t>Mario Aguilar</t>
  </si>
  <si>
    <t>Gabriela Mendoza</t>
  </si>
  <si>
    <t>Ricardo Navarro</t>
  </si>
  <si>
    <t>Alejandra Herrera</t>
  </si>
  <si>
    <t>Oscar Cisneros</t>
  </si>
  <si>
    <t>Paula Rojas</t>
  </si>
  <si>
    <t>Guillermo Soto</t>
  </si>
  <si>
    <t>Patricia Medina</t>
  </si>
  <si>
    <t>Daniel Contreras</t>
  </si>
  <si>
    <t>Laura Pineda</t>
  </si>
  <si>
    <t>Roberto Fuentes</t>
  </si>
  <si>
    <t>Carmen Guzman</t>
  </si>
  <si>
    <t>Fernando Rios</t>
  </si>
  <si>
    <t>Beatriz Delgado</t>
  </si>
  <si>
    <t>Antonio Pacheco</t>
  </si>
  <si>
    <t>Elena Cabrera</t>
  </si>
  <si>
    <t>Victor Maldonado</t>
  </si>
  <si>
    <t>Alejandra Valdez</t>
  </si>
  <si>
    <t>Eduardo Nunez</t>
  </si>
  <si>
    <t>Veronica Reyes</t>
  </si>
  <si>
    <t>Hector Aguilar</t>
  </si>
  <si>
    <t>Maria Vargas</t>
  </si>
  <si>
    <t>Manuel Jimenez</t>
  </si>
  <si>
    <t>Rosa Molina</t>
  </si>
  <si>
    <t>Angelica Ibarra</t>
  </si>
  <si>
    <t>Martin Dominguez</t>
  </si>
  <si>
    <t>Sofia Velez</t>
  </si>
  <si>
    <t>Alejandro Mendoza</t>
  </si>
  <si>
    <t>Marisol Ponce</t>
  </si>
  <si>
    <t>Miguel Rivera</t>
  </si>
  <si>
    <t>Lorena Chavez</t>
  </si>
  <si>
    <t>Salvador Bravo</t>
  </si>
  <si>
    <t>Isabel Ramos</t>
  </si>
  <si>
    <t>Rodrigo Mora</t>
  </si>
  <si>
    <t>Adriana Rojas</t>
  </si>
  <si>
    <t>Emilio Sandoval</t>
  </si>
  <si>
    <t>Lorena Paredes</t>
  </si>
  <si>
    <t>Juan Carlos Espinoza</t>
  </si>
  <si>
    <t>Valeria Pena</t>
  </si>
  <si>
    <t>Ricardo Lara</t>
  </si>
  <si>
    <t>Patricia Fuentes</t>
  </si>
  <si>
    <t>Arturo Leon</t>
  </si>
  <si>
    <t>Maria Elena Herrera</t>
  </si>
  <si>
    <t>Carlos Alberto Garcia</t>
  </si>
  <si>
    <t>Cecilia Morales</t>
  </si>
  <si>
    <t>Julio Cesar Juarez</t>
  </si>
  <si>
    <t>Alejandra Ortega</t>
  </si>
  <si>
    <t>Jose Luis Cardenas</t>
  </si>
  <si>
    <t>Diana Lopez</t>
  </si>
  <si>
    <t>Jesus Martinez</t>
  </si>
  <si>
    <t>Gabriela Torres</t>
  </si>
  <si>
    <t>Eduardo Medina</t>
  </si>
  <si>
    <t>Mariana Velazquez</t>
  </si>
  <si>
    <t>Jorge Hernandez</t>
  </si>
  <si>
    <t>Fernanda Roman</t>
  </si>
  <si>
    <t>Adrian Ramirez</t>
  </si>
  <si>
    <t>Vanessa Sosa</t>
  </si>
  <si>
    <t>Sergio Camacho</t>
  </si>
  <si>
    <t>Alma Rosa Delgado</t>
  </si>
  <si>
    <t>Francisco Chavez</t>
  </si>
  <si>
    <t>Ana Karen Pacheco</t>
  </si>
  <si>
    <t>Oscar Ruiz</t>
  </si>
  <si>
    <t>Luz Maria Maldonado</t>
  </si>
  <si>
    <t>Benjamin Vasquez</t>
  </si>
  <si>
    <t>Estefania Velasco</t>
  </si>
  <si>
    <t>Raul Dominguez</t>
  </si>
  <si>
    <t>Guadalupe Munoz</t>
  </si>
  <si>
    <t>Emiliano Acosta</t>
  </si>
  <si>
    <t>Mayra Escobar</t>
  </si>
  <si>
    <t>Miguel Angel Gonzalez</t>
  </si>
  <si>
    <t>Maria Fernanda Guerra</t>
  </si>
  <si>
    <t>Javier Peralta</t>
  </si>
  <si>
    <t>Carolina Valenzuela</t>
  </si>
  <si>
    <t>Ramon Flores</t>
  </si>
  <si>
    <t>Silvia Navarro</t>
  </si>
  <si>
    <t>Pedro Torres</t>
  </si>
  <si>
    <t>Laura Miranda</t>
  </si>
  <si>
    <t>Jesus Manuel Jimenez</t>
  </si>
  <si>
    <t>Mestrado</t>
  </si>
  <si>
    <t>Ensino Médio</t>
  </si>
  <si>
    <t>Doutorado</t>
  </si>
  <si>
    <t>Região</t>
  </si>
  <si>
    <t>24-34</t>
  </si>
  <si>
    <t>35 - 44</t>
  </si>
  <si>
    <t>44 - 54</t>
  </si>
  <si>
    <t>54-70</t>
  </si>
  <si>
    <t>Santa Catarina</t>
  </si>
  <si>
    <t>Rio Grande do Sul</t>
  </si>
  <si>
    <t>Paraná</t>
  </si>
  <si>
    <t>Economia</t>
  </si>
  <si>
    <t>Avaliação</t>
  </si>
  <si>
    <t>Suporte Ruim</t>
  </si>
  <si>
    <t>Atraso na Entrega</t>
  </si>
  <si>
    <t>Produto com defeito</t>
  </si>
  <si>
    <t>Embalagem Danificada</t>
  </si>
  <si>
    <t>Produto Excelente</t>
  </si>
  <si>
    <t>Boa qualidade</t>
  </si>
  <si>
    <t>Faltando Item</t>
  </si>
  <si>
    <t>Atendimento Bom</t>
  </si>
  <si>
    <t>#E85A7B</t>
  </si>
  <si>
    <t>#6477F2</t>
  </si>
  <si>
    <t>#58407D</t>
  </si>
  <si>
    <t>#100625</t>
  </si>
  <si>
    <t>#372561</t>
  </si>
  <si>
    <t>Aptos Narrow</t>
  </si>
  <si>
    <t>Fonte</t>
  </si>
  <si>
    <t>Cores Usadas</t>
  </si>
  <si>
    <t>Faixa Etária</t>
  </si>
  <si>
    <t>1) Análise das Bases Totais</t>
  </si>
  <si>
    <t>2) Análise Faixa Etária e Gênero</t>
  </si>
  <si>
    <t>3) Análise dos Produtos</t>
  </si>
  <si>
    <t>4) Análise Regional</t>
  </si>
  <si>
    <t>5) Análise Avaliação dos Clientes</t>
  </si>
  <si>
    <t>6) Análise Receita Total</t>
  </si>
  <si>
    <t>Assinatura</t>
  </si>
  <si>
    <t>Safe Watch</t>
  </si>
  <si>
    <t>Deluxe Box</t>
  </si>
  <si>
    <t>Magic Box</t>
  </si>
  <si>
    <t>Premium X</t>
  </si>
  <si>
    <t>Mensalidades</t>
  </si>
  <si>
    <t>Idade</t>
  </si>
  <si>
    <t>Faixa-Etária</t>
  </si>
  <si>
    <t>Rótulos de Linha</t>
  </si>
  <si>
    <t>Total Geral</t>
  </si>
  <si>
    <t>Contagem de Gênero</t>
  </si>
  <si>
    <t>Rótulos de Coluna</t>
  </si>
  <si>
    <t>Contagem de Assinatura</t>
  </si>
  <si>
    <t>Contagem de Região</t>
  </si>
  <si>
    <t>Contagem de Avaliação</t>
  </si>
  <si>
    <t xml:space="preserve"> Mensalidades</t>
  </si>
  <si>
    <t>Anual</t>
  </si>
  <si>
    <t>Total</t>
  </si>
  <si>
    <t>%</t>
  </si>
  <si>
    <t>1-%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</si>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</sst>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##&quot;.&quot;###&quot;.&quot;###&quot;-&quot;##"/>
    <numFmt numFmtId="165" formatCode="&quot;R$&quot;\ #,##0.00"/>
    <numFmt numFmtId="166" formatCode="&quot;R$&quot;\ #,\ &quot;k&quot;"/>
  </numFmts>
  <fonts count="9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72 Black"/>
      <family val="2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85A7B"/>
        <bgColor indexed="64"/>
      </patternFill>
    </fill>
    <fill>
      <patternFill patternType="solid">
        <fgColor rgb="FF372561"/>
        <bgColor indexed="64"/>
      </patternFill>
    </fill>
    <fill>
      <patternFill patternType="solid">
        <fgColor rgb="FF100625"/>
        <bgColor indexed="64"/>
      </patternFill>
    </fill>
    <fill>
      <patternFill patternType="solid">
        <fgColor rgb="FF6477F2"/>
        <bgColor indexed="64"/>
      </patternFill>
    </fill>
    <fill>
      <patternFill patternType="solid">
        <fgColor rgb="FF58407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49" fontId="0" fillId="0" borderId="0" xfId="0" quotePrefix="1" applyNumberFormat="1" applyAlignment="1">
      <alignment horizontal="center"/>
    </xf>
    <xf numFmtId="0" fontId="0" fillId="8" borderId="0" xfId="0" applyFill="1"/>
    <xf numFmtId="0" fontId="0" fillId="9" borderId="0" xfId="0" applyFill="1"/>
    <xf numFmtId="0" fontId="0" fillId="2" borderId="0" xfId="0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5" borderId="0" xfId="0" applyFont="1" applyFill="1"/>
    <xf numFmtId="0" fontId="4" fillId="4" borderId="0" xfId="0" applyFont="1" applyFill="1"/>
    <xf numFmtId="0" fontId="4" fillId="3" borderId="0" xfId="0" applyFont="1" applyFill="1"/>
    <xf numFmtId="0" fontId="4" fillId="6" borderId="0" xfId="0" applyFont="1" applyFill="1"/>
    <xf numFmtId="0" fontId="4" fillId="7" borderId="0" xfId="0" applyFont="1" applyFill="1"/>
    <xf numFmtId="0" fontId="1" fillId="10" borderId="0" xfId="0" applyFont="1" applyFill="1" applyAlignment="1">
      <alignment horizontal="center"/>
    </xf>
    <xf numFmtId="0" fontId="1" fillId="11" borderId="0" xfId="0" applyFont="1" applyFill="1"/>
    <xf numFmtId="0" fontId="1" fillId="10" borderId="0" xfId="0" applyFont="1" applyFill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6" fillId="12" borderId="0" xfId="0" applyFont="1" applyFill="1"/>
    <xf numFmtId="9" fontId="0" fillId="0" borderId="0" xfId="1" applyFont="1" applyAlignment="1">
      <alignment horizontal="center"/>
    </xf>
    <xf numFmtId="9" fontId="0" fillId="0" borderId="0" xfId="0" applyNumberFormat="1" applyAlignment="1">
      <alignment horizontal="center"/>
    </xf>
    <xf numFmtId="0" fontId="1" fillId="11" borderId="0" xfId="0" applyFont="1" applyFill="1" applyAlignment="1">
      <alignment horizontal="center"/>
    </xf>
    <xf numFmtId="9" fontId="0" fillId="0" borderId="0" xfId="1" applyFont="1"/>
    <xf numFmtId="0" fontId="8" fillId="0" borderId="0" xfId="0" applyFont="1" applyAlignment="1">
      <alignment horizontal="left"/>
    </xf>
    <xf numFmtId="0" fontId="8" fillId="0" borderId="0" xfId="0" applyFont="1"/>
    <xf numFmtId="166" fontId="0" fillId="0" borderId="0" xfId="0" applyNumberFormat="1"/>
  </cellXfs>
  <cellStyles count="2">
    <cellStyle name="Normal" xfId="0" builtinId="0"/>
    <cellStyle name="Porcentagem" xfId="1" builtinId="5"/>
  </cellStyles>
  <dxfs count="11">
    <dxf>
      <numFmt numFmtId="0" formatCode="General"/>
    </dxf>
    <dxf>
      <numFmt numFmtId="0" formatCode="General"/>
    </dxf>
    <dxf>
      <numFmt numFmtId="165" formatCode="&quot;R$&quot;\ #,##0.00"/>
    </dxf>
    <dxf>
      <numFmt numFmtId="19" formatCode="dd/mm/yyyy"/>
    </dxf>
    <dxf>
      <numFmt numFmtId="19" formatCode="dd/mm/yyyy"/>
    </dxf>
    <dxf>
      <numFmt numFmtId="164" formatCode="###&quot;.&quot;###&quot;.&quot;###&quot;-&quot;##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9"/>
        </patternFill>
      </fill>
    </dxf>
    <dxf>
      <font>
        <color theme="0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name val="Aptos Narrow"/>
        <family val="2"/>
        <scheme val="minor"/>
      </font>
      <fill>
        <patternFill>
          <bgColor theme="3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theme="3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0"/>
      </font>
      <fill>
        <patternFill>
          <bgColor theme="3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eg_Formatação" pivot="0" table="0" count="10" xr9:uid="{ECEF7C8B-9BD3-4D4E-A6E8-801111A9027B}">
      <tableStyleElement type="wholeTable" dxfId="10"/>
      <tableStyleElement type="headerRow" dxfId="9"/>
    </tableStyle>
    <tableStyle name="SlicerStyleLight1 3" pivot="0" table="0" count="10" xr9:uid="{92A4BD21-9969-4CE2-85E3-C5746F51EF95}">
      <tableStyleElement type="wholeTable" dxfId="8"/>
      <tableStyleElement type="headerRow" dxfId="7"/>
    </tableStyle>
  </tableStyles>
  <colors>
    <mruColors>
      <color rgb="FF58407D"/>
      <color rgb="FF6477F2"/>
      <color rgb="FF100625"/>
      <color rgb="FF372561"/>
      <color rgb="FFE85A7B"/>
      <color rgb="FF623CEA"/>
      <color rgb="FFDADADA"/>
      <color rgb="FFADADAD"/>
      <color rgb="FFE71D36"/>
      <color rgb="FFF7B32B"/>
    </mruColors>
  </colors>
  <extLst>
    <ext xmlns:x14="http://schemas.microsoft.com/office/spreadsheetml/2009/9/main" uri="{46F421CA-312F-682f-3DD2-61675219B42D}">
      <x14:dxfs count="16">
        <dxf>
          <fill>
            <patternFill>
              <bgColor theme="8"/>
            </patternFill>
          </fill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>
              <bgColor theme="4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3"/>
          </font>
          <fill>
            <patternFill>
              <bgColor theme="4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0"/>
          </font>
          <fill>
            <patternFill>
              <bgColor theme="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0"/>
          </font>
          <fill>
            <patternFill>
              <bgColor theme="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>
              <bgColor theme="9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0"/>
          </font>
          <fill>
            <patternFill>
              <bgColor theme="3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auto="1"/>
              <bgColor theme="4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3"/>
          </font>
          <fill>
            <gradientFill degree="90">
              <stop position="0">
                <color theme="0"/>
              </stop>
              <stop position="1">
                <color theme="4"/>
              </stop>
            </gradient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theme="4" tint="0.59999389629810485"/>
              <bgColor theme="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rgb="FFFFFFFF"/>
              <bgColor theme="3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eg_Formatação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1 3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[BaseAssinantes_Inicio.xlsx]Análise!GENERO_FAIXA_ETARIA</c:name>
    <c:fmtId val="1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"/>
          <c:y val="9.1757700701974639E-3"/>
          <c:w val="0.9977898060285042"/>
          <c:h val="0.857459416192061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Análise!$J$5:$J$6</c:f>
              <c:strCache>
                <c:ptCount val="1"/>
                <c:pt idx="0">
                  <c:v>Feminino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Análise!$I$7:$I$11</c:f>
              <c:strCache>
                <c:ptCount val="4"/>
                <c:pt idx="0">
                  <c:v>24-34</c:v>
                </c:pt>
                <c:pt idx="1">
                  <c:v>35 - 44</c:v>
                </c:pt>
                <c:pt idx="2">
                  <c:v>44 - 54</c:v>
                </c:pt>
                <c:pt idx="3">
                  <c:v>54-70</c:v>
                </c:pt>
              </c:strCache>
            </c:strRef>
          </c:cat>
          <c:val>
            <c:numRef>
              <c:f>Análise!$J$7:$J$11</c:f>
              <c:numCache>
                <c:formatCode>General</c:formatCode>
                <c:ptCount val="4"/>
                <c:pt idx="0">
                  <c:v>62</c:v>
                </c:pt>
                <c:pt idx="1">
                  <c:v>97</c:v>
                </c:pt>
                <c:pt idx="2">
                  <c:v>98</c:v>
                </c:pt>
                <c:pt idx="3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20-4336-9222-E9A6AB767ED4}"/>
            </c:ext>
          </c:extLst>
        </c:ser>
        <c:ser>
          <c:idx val="1"/>
          <c:order val="1"/>
          <c:tx>
            <c:strRef>
              <c:f>Análise!$K$5:$K$6</c:f>
              <c:strCache>
                <c:ptCount val="1"/>
                <c:pt idx="0">
                  <c:v>Masculino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Análise!$I$7:$I$11</c:f>
              <c:strCache>
                <c:ptCount val="4"/>
                <c:pt idx="0">
                  <c:v>24-34</c:v>
                </c:pt>
                <c:pt idx="1">
                  <c:v>35 - 44</c:v>
                </c:pt>
                <c:pt idx="2">
                  <c:v>44 - 54</c:v>
                </c:pt>
                <c:pt idx="3">
                  <c:v>54-70</c:v>
                </c:pt>
              </c:strCache>
            </c:strRef>
          </c:cat>
          <c:val>
            <c:numRef>
              <c:f>Análise!$K$7:$K$11</c:f>
              <c:numCache>
                <c:formatCode>General</c:formatCode>
                <c:ptCount val="4"/>
                <c:pt idx="0">
                  <c:v>76</c:v>
                </c:pt>
                <c:pt idx="1">
                  <c:v>131</c:v>
                </c:pt>
                <c:pt idx="2">
                  <c:v>105</c:v>
                </c:pt>
                <c:pt idx="3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20-4336-9222-E9A6AB767E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10"/>
        <c:axId val="1940159727"/>
        <c:axId val="1940160687"/>
      </c:barChart>
      <c:catAx>
        <c:axId val="1940159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40160687"/>
        <c:crosses val="autoZero"/>
        <c:auto val="1"/>
        <c:lblAlgn val="ctr"/>
        <c:lblOffset val="100"/>
        <c:noMultiLvlLbl val="0"/>
      </c:catAx>
      <c:valAx>
        <c:axId val="19401606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40159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934-402D-A6B9-B39627C42030}"/>
              </c:ext>
            </c:extLst>
          </c:dPt>
          <c:cat>
            <c:strRef>
              <c:f>Análise!$B$11</c:f>
              <c:strCache>
                <c:ptCount val="1"/>
                <c:pt idx="0">
                  <c:v>Feminino</c:v>
                </c:pt>
              </c:strCache>
            </c:strRef>
          </c:cat>
          <c:val>
            <c:numRef>
              <c:f>Análise!$D$11</c:f>
              <c:numCache>
                <c:formatCode>0%</c:formatCode>
                <c:ptCount val="1"/>
                <c:pt idx="0">
                  <c:v>0.43890274314214461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34-402D-A6B9-B39627C4203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Análise!$B$11</c:f>
              <c:strCache>
                <c:ptCount val="1"/>
                <c:pt idx="0">
                  <c:v>Feminino</c:v>
                </c:pt>
              </c:strCache>
            </c:strRef>
          </c:cat>
          <c:val>
            <c:numRef>
              <c:f>Análise!$E$11</c:f>
              <c:numCache>
                <c:formatCode>0%</c:formatCode>
                <c:ptCount val="1"/>
                <c:pt idx="0">
                  <c:v>0.56109725685785539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34-402D-A6B9-B39627C42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2495375"/>
        <c:axId val="282457455"/>
      </c:barChart>
      <c:catAx>
        <c:axId val="28249537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82457455"/>
        <c:crosses val="autoZero"/>
        <c:auto val="1"/>
        <c:lblAlgn val="ctr"/>
        <c:lblOffset val="100"/>
        <c:noMultiLvlLbl val="0"/>
      </c:catAx>
      <c:valAx>
        <c:axId val="282457455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282495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spPr>
            <a:solidFill>
              <a:schemeClr val="bg2"/>
            </a:solidFill>
            <a:ln>
              <a:noFill/>
            </a:ln>
            <a:effectLst/>
          </c:spPr>
          <c:invertIfNegative val="0"/>
          <c:cat>
            <c:strRef>
              <c:f>Análise!$B$12</c:f>
              <c:strCache>
                <c:ptCount val="1"/>
                <c:pt idx="0">
                  <c:v>Masculino</c:v>
                </c:pt>
              </c:strCache>
            </c:strRef>
          </c:cat>
          <c:val>
            <c:numRef>
              <c:f>Análise!$D$12</c:f>
              <c:numCache>
                <c:formatCode>0%</c:formatCode>
                <c:ptCount val="1"/>
                <c:pt idx="0">
                  <c:v>0.56109725685785539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19-44C8-A8C9-BAF820855AF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Análise!$B$12</c:f>
              <c:strCache>
                <c:ptCount val="1"/>
                <c:pt idx="0">
                  <c:v>Masculino</c:v>
                </c:pt>
              </c:strCache>
            </c:strRef>
          </c:cat>
          <c:val>
            <c:numRef>
              <c:f>Análise!$E$12</c:f>
              <c:numCache>
                <c:formatCode>0%</c:formatCode>
                <c:ptCount val="1"/>
                <c:pt idx="0">
                  <c:v>0.43890274314214461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19-44C8-A8C9-BAF820855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2482895"/>
        <c:axId val="282491535"/>
      </c:barChart>
      <c:catAx>
        <c:axId val="28248289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82491535"/>
        <c:crosses val="autoZero"/>
        <c:auto val="1"/>
        <c:lblAlgn val="ctr"/>
        <c:lblOffset val="100"/>
        <c:noMultiLvlLbl val="0"/>
      </c:catAx>
      <c:valAx>
        <c:axId val="282491535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282482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1B81A625-B3F5-41B4-AF2B-4CC5B1547224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1FC5-499F-A06E-F64EC2ABF71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C7A5E3C-6EC3-4D2C-8013-8B13B6436350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1FC5-499F-A06E-F64EC2ABF71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9757FEE-C236-4DB3-84F2-178F092B6484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1FC5-499F-A06E-F64EC2ABF71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FF42463-353F-463F-9DA8-6B37ED59EF70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1FC5-499F-A06E-F64EC2ABF7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Análise!$O$13:$O$16</c:f>
              <c:strCache>
                <c:ptCount val="4"/>
                <c:pt idx="0">
                  <c:v>Magic Box</c:v>
                </c:pt>
                <c:pt idx="1">
                  <c:v>Safe Watch</c:v>
                </c:pt>
                <c:pt idx="2">
                  <c:v>Deluxe Box</c:v>
                </c:pt>
                <c:pt idx="3">
                  <c:v>Premium X</c:v>
                </c:pt>
              </c:strCache>
            </c:strRef>
          </c:cat>
          <c:val>
            <c:numRef>
              <c:f>Análise!$Q$13:$Q$16</c:f>
              <c:numCache>
                <c:formatCode>0%</c:formatCode>
                <c:ptCount val="4"/>
                <c:pt idx="0">
                  <c:v>0.33167082294264338</c:v>
                </c:pt>
                <c:pt idx="1">
                  <c:v>0.2892768079800499</c:v>
                </c:pt>
                <c:pt idx="2">
                  <c:v>0.20947630922693267</c:v>
                </c:pt>
                <c:pt idx="3">
                  <c:v>0.16957605985037408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Análise!$P$13:$P$16</c15:f>
                <c15:dlblRangeCache>
                  <c:ptCount val="4"/>
                  <c:pt idx="0">
                    <c:v>266</c:v>
                  </c:pt>
                  <c:pt idx="1">
                    <c:v>232</c:v>
                  </c:pt>
                  <c:pt idx="2">
                    <c:v>168</c:v>
                  </c:pt>
                  <c:pt idx="3">
                    <c:v>136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1FC5-499F-A06E-F64EC2ABF7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5"/>
        <c:axId val="294045103"/>
        <c:axId val="294037903"/>
      </c:barChart>
      <c:catAx>
        <c:axId val="29404510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4037903"/>
        <c:crosses val="autoZero"/>
        <c:auto val="1"/>
        <c:lblAlgn val="ctr"/>
        <c:lblOffset val="100"/>
        <c:noMultiLvlLbl val="0"/>
      </c:catAx>
      <c:valAx>
        <c:axId val="294037903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2">
                  <a:alpha val="38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4045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200" b="1"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series layoutId="regionMap" uniqueId="{FA7AB90A-F557-465F-9877-70469F24C288}">
          <cx:tx>
            <cx:txData>
              <cx:f>_xlchart.v5.2</cx:f>
              <cx:v/>
            </cx:txData>
          </cx:tx>
          <cx:dataId val="0"/>
          <cx:layoutPr>
            <cx:geography viewedRegionType="dataOnly" cultureLanguage="pt-BR" cultureRegion="BR" attribution="Da plataforma Bing">
              <cx:geoCache provider="{E9337A44-BEBE-4D9F-B70C-5C5E7DAFC167}">
                <cx:binary>1HzZctxIsuWvyPQ8UMWOQNuteQggF1LcSa0vMIqiAmsElsD6N/Mt82PjSZWqSTA786rvHbMZmZWV
qpJMh+/ux93xHw/jPx6Kx/vmzVgWpv3Hw/jn28S56h9//NE+JI/lffuuTB8a29of7t2DLf+wP36k
D49/fG/uh9ToPwjC7I+H5L5xj+Pb//kf8G360Z7Zh3uXWnPdPTbTzWPbFa498Nnej97cfy9TE6Wt
a9IHh/98e3Xf3Jv//b/evnk0LnXT3VQ9/vn2xQ+9ffPH8qtekX1TwJO57jv8rkf4O0YR8wPEgp9/
3r4prNG/PmfBOyIZx5iLvz//SfzivoQv+E880dPz3H//3jy2LXD09O9nv/ji8eH/37x982A743ZS
0yDAP9+q5r5Ni7dv0taGPz8J7e7hFfwocPvHS4G/+h/A/+JHnulkKaxjH71SyU1q32xAK98f33y3
b247eM7/NuVQ9A7RgJNAvlQKx+8IFgGFD9HTH/KL6E+l/NYz7VfPnq9YKOrm9v8vRd3eG3f/Jrx3
901q7n8J7L/Dhfx3PAgkQxj+9fTnpbaYfMcZlgRx+lNb9Bfxn9r6zz/YflUtf3+hp9vw/209/Qtn
f+5EL37kdyMcRu/o0x8EXvI8tHH6jjwpxBd7vehX2PnXT7JfH79+78VT/9+OYv86wv0d/iMw/dVT
3ngW5A5/+is6Ln71RYR7weYvyz75/udbCvL+OxntvuGvX/tp9b+k9FO6v37+8b51u6wk30nmCymF
zwIifA4BcHh8+sin7wLGA18Q7lPCCA7evjG2ccmfb/k7IgLuB1L6EBgxFf7bN63tdh95lL7zIYsJ
nwQ+FZRI/HemvrLFpK35WxJ//fcb05VXNjWuhW9++6b6+VO7BxWCBJAPiSSMI4opIeDR1cP9DRQD
8MP4f3T90Dof3D1sS62s+WT8u6Qc1TN57CHC9hGhu4cOfBkEAr8kQnncT4POjBp9b42Jr1A8gK//
LfI9JPbywXeClASqGAFifs6HSCzGKfdKVTVtovoUJ+vGFNUtSYZ++2+QAulj0BEGvwPdPCdlRiS8
YuIo7GQbFhy4qe6ILI/IDO+EstSMT3wpJfEJl8GO42eaycbStV3VGZV7PQpJa7pzL0bezUSLIGwG
9lVOcbcxM/IiwV25ilkwrk0thy+H2d1J7uVzEI58H/sUScIJRS+fo5FmEBn3S5Vkff/V+al3N5kS
pWuTD/gkK6xPQlzw8ZI1DFVHpPBarUBcIoECxAUVaGdZz4QwoiydSwvCxY0fJfN00YjhojX198M8
vjbQl2QWsvaJpnkvAhTmzfQx1uW3IEhWv08CswDsk1OKgl0ceM7J7DvBdBejEItmm5WTiqvsiA9A
vHilqZ03I8QkgpizMMwWXN1Wc2sU8Us/lMnI1sjSymzSOTV8TXkR62icPCpuiGYePxkdsr/Hpi8Z
xCQfMQShjgvmLxQWUCy9JA6yqO3jsMwHxcjvud9fFAiGv5CAM7awx5gHuOtiV0ae9k5MmwMV7zKz
3clv6esnmV24YpwJsHrxUl/UDDp2c5xFqalXbPyBSHHEthdG9xeFQEAQJohQuQi9tLUkG7uijHLz
XpPLth+OEFg4zxMBHhDwH9AFCpYE2pxqT7RjEbE5XVfFF2uqbdxfHJYT3gliGR8gOFCJKDRenC2s
rtMl5p0ucIg23crcBesiGj/pDw/lib0aVy7ML4MoODtMdK+lP6O5cCZDZmY6CtG+zobym8w1Ul7j
mW0Jvd8li/uxVNIJoWasbKynzWHqe0Iz4XgXkRAk7Z/Z+bkvJ4VzNIcGXA0TomFuXfzV9Ely0yCn
sHxM6tqP0iCRn11mq1hVqGIRHvURd1/YD6RuCMcEM0lBtULIhYUaOltPUsiqVT86X3UsTnOV28aj
0WF+F3b0FyFJOQf3pYyQl64wCyfKtk8gfcueqjTvjepKW6wIS48Y04IlX2JwaUS5pBTkKvmiUBhL
o4XUcaOmsboasvq2iXFzxCsW9voXDQ7cIMEChha2M7GpGEViyqjxnNIpCVvvckTvtTgSQI7QwQup
2aDHlRO2jCpht12cYtVOclP5QzRh1xyxhYWKnlwdikwiJSJgFcEilpiOEYcDkUc0zYat89A971G2
kV315bAtvNIQxPfnhHafP0vItKzHvs2DKopLFnpzqnySrg+T2MeLjyDqQvDFPpSDL0lgUQxZF5Mm
is1F1r2Pqzs9/BskpA+gAxNgbFAxviTR1d1UyjLIo95h5bofk1eoLHt/mA+8j5HnVBZKYS7nhNWe
icZ18OCvAR5b9e+bbbsuT7xNo4pV9SH4fpgm2U8TksmuZtoVbS85y3VXZllQmqhd6ZvxLAnttYmy
yP9UbvQmT9UQNapf6bCMUFSvq9A7Kc6btY7sEeZ3SnqWFZ4MEpqXv59jYSeGJLNf9jKPctwzFbfN
BYHax+iRqR7hD0NJiugw66/8DSwTsD+fM+ozwvxF7JhMzvRQj1AXjOvUFMpLP6X5Gk3fDpPBOwku
OQsYgfCBpGB8aZ66DlpcDmkBEqZrEWbr/DG4CMIxBJ1upK/EzWGCO0m9pMc5JQL6RwYNGmO7XPjM
4zCuMJu4aFTOKzW3n/oyVocpvNbVcwqC7yT7jELfM6T5gMcoL1dz7KvBzirR/cqzNyY7Jr797EjG
BJJgn8uKPm68OEO7ukpcz1GrfKfKDyLyN3SFtm7TnOvoWFl8jOLOZZ6xJzhL4072ZVR7ldLxZRIf
qUZe+RwnYOoALHMsoFfzFxmFCkiLyHgklHgMk0KrkV5jfMShXnEBRKATpIIAyo3FsusMUG7zys9p
2FMcWtuHNjgSFF850ILCgo0mmbwh1w0JG7exw41OMiXSe9n/OGxtu695Yc8LMgt7RrOF7oVRqCZY
9llrVNxRl3ysx0RsLAPeYt0VahZEfz5M97XjviSMF40Dmwjpa1PQEDLLeXydbvFWRn04TgpFRHlR
HB4huJdTGEj4O71h+ZQfnhkeyVzTVVNJwyHso/GsWjdnJKzW47Za1Wc45BscZtsmDL4co7zXVp4R
Xjh0qds0pgEQLnAdjvajpleHWTvG2SJF53E/d15fWcWqIZlUNcrqisnCl0pw3/+UOt52KkB+fRck
eSkvD1Pf528Aqv0t193TPZNr0s9NkbEde+1nHN+1pVUmP1KJLmt8H9p0AN4CyCgMSgTMFyxq67pm
mkYgchZvdkpLz4JNprKVjroj8fe1470kteCHs7GpUp5YRXBeWIjx0mtD1KG4W/dpMn5OEg3+/rsy
hJkLtJ4+FCjAI114oS4GAZ6YWtVl+GtjukGNIzprWnmEN7KAsZ7kSCXAZYxzggRfFCS8qHk3dj0L
+/Ww6sJuJU+zL5A2Iy9Mw1TdeatmValxNaahOZ228gifr10B+HxGfvf5M1vBTtrZAMAZNgFKVQsh
Rxh+hMe9tgI4LSBknHDAaxcZxmnRQo4GdxiSbPBDJltZXI2xq3rVIrbLOnMf2xUiPfFOWJ/NneoN
wGphwGfthcwIdCTNvnaR3UiNYQEtDsDEy9ZfC12MPMcsLOXFONSqJx+Io/+GbDlmu1oIZkZELFQb
x8JHraetaiSZTnxjvsZG95vDhrpHgYAAMuIjXwJ8vCy3hkYbrwZgMLTNRye/IJIf0d4xAgvvg7Tu
jdafWZh7V7HIFe22/zUOFq7WZmQEkD2gYQWBahovGnpERHgXi16mVPpcRkuI1i9SgIF70Dbb+N0m
CfPVbv4cNlvvg3dfFYqsXYhw6B5ZFvLoMHdPfewh4ou6e4xb1JQOiA/hGKFVEXk3TrlVsHEbvT7W
VuwJlcCp7wO8CPUjWhb5KLF+nM9AjNTfgtG8d/WodE1WDWuPGPfT5GPJF6GccQA0YRSDFnyxoRe2
y0Bt/Vqc9lG37cKgCKeP40m9CbTiX7soOM3uJ2ijVmRNVL7e+kdku8eLAXD/5yOQl8ErbzXKxQSm
SeN+ZeypV7BQ16eHFbhHpFC1wtg3EBJQ1d2o6XmEHBK/zmXe81Dbj0m3zbs2TIszoo9B+Xv8DJAk
BFMrAZkHav+XdHQyzzWTzqo6th9o360DPZz/Nis+AOBYQD7doXMLVorKb3mJe0ikCVFzR1YeR+t8
/lRU+ohm9hST1N9FV8ielEDkX5By/dg0cTLyUJz7l50fNSdm3UONgNiqPUNRs8k2h3nbYwsvCC7C
VA/THj22ToQtKi/1eDMH7kYE1/81IotQxUWfVPUTV3l/n/bNWV+3JwPrjvjWHlMAXqC2goYd4Pol
tu5KSWOnGx4Wmikn/dDXnw4zsnvQhfO+oLBQD4nbSYh44BAR3Um7yTd0k2ybTXsktO8LEj4G9HU3
pMKEL8eOLUrEjIqWh+MDXichfnBJRMIk7B7jSvnhDKBAtUruawI9Rh7hj+V62FZH4XCyl91nj7HQ
G8wqBO8KYDf9mG3IJgEkvj/ztlNI18E6vQg+m4huvVW8Rjhyil3GqlHtmbvoV4AGbXRUHFHwPmNl
jAEKBIiuBE986euen9vU5cQqXg6Takw2KyvYyjF7DPXZKXKp6OeUFlFFxrFXDX7Aw0S6VTvRWz9L
LqUMQt3Gg/Jr9njYsPA+231OcBGTnUw9k7Qxh7TQngaX2VW5LaI4SqE+ibyNC6vNsRJ2r5ExLqF9
9WEEC7O1l9JkfB4SueNRXNf3yd20GjbtB/2+XNlz/oRAeeHD8Lm4sFfDZeKHZpWd/jvRB6A1oA/9
22tgXgwFnvqBWiXmk9rWZ3M6nLfTx8OyfYJdXynzGZWFbDsGVVI1gmzdegp773RXTdhNfBXfZQAJ
hDwsb134iVwVCofBabn2vrCbw4+wi6LLJ9glEOQHBMa0dGFOsxsKav0AmjA0JjTsqn6iqh8nXSqI
9uV30SbDj6nHfRP6GeDHh6nvsy2BIBtDQb0HMGjzeKoo1yLs+Gemc+WOdbV7CRABuDojMCfe7bU8
z/XjhIfc+r5VUGNlZ7V0maKz1x+BqvZ5v6DU3/0Dvdey+cjbpCNJkYuwlsV7x/RZBSEepiBHYvwx
Mjtmn7V2DPcuT2ogU3b3tGlUOnzqqFOHVbLPIHwY/wbQfEAhSBc9TpP2MAicYMiWzpacNTa/0jGJ
r2BINqiycux+FLl3kU5Qdx8mvKcs858TXnDXerPFQ5WQ0EvSeUuagqlC00AFpCtC1CbyCKSzT5ow
UYXBvcDQ1C0LmnTonRzTAca4bbqNxRQOZRdl9tthrva1yhBA/klmUcYQOpu5pyMOqSWrOf9mLV5N
pFSpTy8CGUdBM5+PFV0bPm1cfkyb+5gELAd0GQAm8KpjNbgWru99wN7c51lel8lNP9gjFrOXRQnT
q4DCnhYsfC2cTNcj0wGDNQwEQGYww6BREJW06BTn1WfRGGXTMkTJDNmxRRfdmBx5gH3FQAC9USAA
dQQQYFH78MkV6dDNAC6e/Kp92LrZ/BttLSyo/ZPMQpO8nvyBzgQMZs42kPC3ZS/WR6xlJ6pFOJZI
QgzhMKljAay6vXDxtrclrLQIHCYn6YW/xlu9iW/nkIbZKoiO5dl9nawEMMyHugWgE38JEA+uyAhO
RqNkV65EEq/zXIzvkd++98f2q4dx1I48UW1LNmOQTTAOH2F8NvrkiAL31DRPZRMMtBAs0yxXharG
sanDME+w09bMNtJZE4r+FhYiw7EkR0q1PXFGQtcHnQxhCEEx/lLEjR6rbIxhrhCjCVa7Kj232a2v
YYNok8dBE3/gltB0OsLiHkfcVTIYcAsKwA5fRDeYYcSDswY6tVIkatcBn1iAyz/DYqD7esSI9iS9
XWMLiQgWMGGEtpPAszxhTaznzKsI9AJdOIXjGYVBrP4wX0BFcUpX3pV3d5jiPpESmEDukApYixE7
q35G0DPMiTSuSdjXZa+g7T6nTTwpHPPuBHbAtoep7TVbCpsZIMwAgwEvZFlDtAU0HDKFOB+jOcKq
iPyLhzmsLsj2WB24D2qCfZN/Etsp9hlvdUrKeqYxfpppuBMR6pW3asMk8lYptDux6i7Ty+L8t2d4
nEIvAdNPKF2gw+cLst6Q+hb2vEjok1F5+a09JsV9RgJfDr28hJUp2D55yVeWpdDKoJ0bVJNi0xXp
j8As+xADKOER8ADrZJADF46WJ9amusUGysnZbepmHK7T3c0M1em2nb2t5l4YGFimpJNB67TOPJUG
Mg3dbIJ1P/r558N2sy/KPH+eJcfCJR4LwEqltWEb07AsC8XoD8nMqnJHRjZ7icGuDQC1MHMAM30p
3qKO6ew02GjQDCdVcGpqpCQyJ0M2reLy5DBn+3QJi4EkELAduMO2XhJzNtOzHI1RsdRFJLXorziv
qiNevi/PQzf0tIf4tDq9ICNMCfh3D3mWbYLPw2bcOtVG6XeiqjA5Amzt5eifpJa2kw7eFAztbrOz
svI95rBUNg0ZOjLHXq7y7WY1wJGEDQDgCva0F1pqA5NLwJhwOJ26tTkjP+JC5afBStzOF3gzh3ml
AOe85L9fer4guxBkAY2vVzvgjs8ZP2smv9zAZiosU+CsvjlsGnvjF6ztwTQBdhUh7yxiM/LaXMPM
gkBxBMtLsT6HJYTQSBWspjVZNzcQsHW51mEepUcXEfYlPdjKATA5gJkizIRf2mWT4EA3FmjDNOB6
RvOmI/49S+ojo8t9xgLbIlJQCDXQ5y3JFNXAza6M6Uj2XUh8BpslRzq8/SQkAUYgoollhTLFgaCt
N8KqALaXssjft5WNDmtqr7Bgcv6LxMIotEUwTIIl/FCQoVnHc+KfNtoDqAXWq4+UQPtIQSUrBFwo
7M4HF5EQ5WaiNSYkdLXZ4EFDOGZrWHQ/OczRvhj4nMzC9AzvYUFeQuokpAyFWHteFRkehzWHwDE8
/NeILYxghuBoDQNbG0wagUtFjH/qhFxVZR7Nw/VhYvu8CkzahxJdUIkDf5Geiwm145DDasUQonC3
1pOe9t+qdbZmX8idW6GohKVHQEzUpNVh0ntqLZgsS7DBHdT4at+N1WkKw0MJTRU15HSm42fS2Bsh
YSaU+0mwOUztKU8tGpIAmEQC4wA2YZfDkqQxMxyFwOrB1KgqcmfA6wZH2SVsMJ1P6+6sjWIl102o
I3HEq3f2vqTMGfJhC2h3QLDcm5JlDbs5gQ9AxEBdCnVzAduRrhrbiDV+l4VdPqe9qmEjeFo1BQxj
Fc51dSRD7PEUCF9YcCikAddZpvGkZuMgx9ioGl2Xs9hgnUde5n7bH6ETIRC/fNgBhiubhe1mFRw3
+7DzoDBJVY+HME6v5JysD+tyl8xeChSogOnADtpucr+8r+mCOM1Em1lVQbn2g41wVAAEYQImsas/
T05nZ7rJXRKivEbpkej2OoDuzjQ4jAygh4YYt4gFchwbL8jmWpXtfF/yfhWU5Nii857VCyCCYR8S
BAm9M1p4ZV4n0FyS2AOvHFZeqrJIX7vb6jZZO3V2ZnsFfbRysJ256rY2ytfHpiN76gmYAcDMD85e
GOynLwsxwFCJHkYD88vLZOMezAlbZRHMTt3pkKkYKw5bf9WGfqF3h1X72kyBLnQp3Aesk74CIPtB
pi7IobsM+rF6BLy+uyqEZ6+gLATs8zCt134JtKCkh218gI1h/+NlUjcerV3RSxqKwdsUonhoa5qq
EuppLed1gIdb7jyskoYcaSiOEV60tbCaykzRwHy6SeNT58R1lWRbPNAL0zW3TeI2Q5LXasS/34rt
GIazFY4lHCgu2800mMjUUhhKD8moONnO4/1hie7VHiyZw0kiLNMA9PNSoqKJYet/gtUkbx69ddq2
KzgwOSm94dit0j5COygQbi99wHuW5a6Jx7HQXW6VK5LufZd29rqVaRzljeyPWOSeJh1WhWESBod0
u22WZbTJgqJ2Y4WsGmcZbFuDUIR980HkLscRaxN+G9NmzhSUPH0ZxrPIrpuGpzcFGoS3Tiznt4el
/DoCQXEIPTWFdA2I1zKTBXkSj3hsrLJl1n7I036IsGem7WEqr2uel1QWHYUgwumqhKF/4u1mo/Kr
8eIvpexvyiopw3GujqSO/VxBOQDjMEwxWqSOLp9Ya1HJQ4NN2Llatd6XwxztqXVgOgNnTgAkwesm
XmUn0IrpuJ/KkKs+8m+9S7iD+KRP87BZmYvkYoiSLVHm/NguyOtCB8jCnJkhWDOGUcRO0s+Al9hA
wT10tlITW/u93tb2g86rcGDVkdp+z4QTDvd2CxQAYSEAXRaUEtJS6jjMVdrVGAVQU1y3H5J1/rTh
3sKA86sJj8WUPe7xkubCTuomrVuvgLnbOCezDk3adau58h5KPSnjUK583tkbNMGIG7oAkHXTwPZg
r792sKN5pJp9GRag992VsoA5A9IEa/f06VmfSdqyCtVW15NyE23sGo/c8dOpJK45bXxhfzNL/kUP
1Apn2AhOkpaLRl3cVdOc4utdlh6ESsI6dO8dzDvZuj2DE07AE4rz39w5pVBFwt0hbFEBIgrNN905
0jMmYxi0wn1j1Spa9DArv8cO/mqDcOLH4NdFCKASdn5goATXR7tSAGC8l5QGXUpP1rZV7HwKTa+a
ExbybfvoXYxaUa7cx+nOnKaX9IrfHXbV15TxDoAFr8FwqYGW04NcZq00BVAe5ytMT0pi1FSOoXAy
TJIqOkxsWewwgeGGk0AXApUW1FvL0OPLlLC+AYnG5/yzu8OJQh/t1zpMnBpDOIS8LpoQSWU2xyID
2SGHzypZoAwlOUyzOBR7gOAvr5ky00yGJ/g6O+tWfjSE7kxvE9iwlVERlefiKj0JTodLKEjCdB2v
DrP90lnEE+3dZgLsdAWwkb28fYAzYppAZm5V4aCazTgcUnmkPNWUHrPYp+H0gk0YWUPl4SPAuuHO
/6UhBflcmDzxPzdpFyGTNSpzyTbHcJHYPKZ0UKIg77u2ULaGyxyD1564xrk7FdCtscKuJmhPWZEr
Zu5ittsHvnX5VQGygqzL6zmcJxtCCxVhilQ9EzVUMiptHk75EKHs6M4wqGehNsi5FGoP2GSHiLN7
E8OCn6ZxVTLk9arJJp9ATAsSU5nQjh3AdGtu4761So7aR0PotbYPStV0HqxhqL7RPId1RC+mpIw0
IOM+/eCjqkzh+imAY30XzQDUT23YyIwJftIkMZS+apIt2C58NbLWgZ4CXXpqSIe5zwCV7iXKVoC/
2wp2HhtjahxNHjM02QDWVIK8+Uy9fFRzXsD7pWCvukg/TxpX+ksCbx3g74fSav0p6Wo0XVdViUY4
OB7yORwpKr80cZ6m4WTjbKOt1LOnGq4JrEklCfSzKq5rbQYYsrczMI1Ll32A83XXSYXENMyXzoPT
+bNk7rvGRekoRX4NlxUCqnmvx5bDPZvsiV7B2wJc41YyAZGvbJtUw0nZ5GJNM1HBpTgqMz9bVSa3
Zps6iatRsVHEblsGpBnjaJo1K76V3AVsjXXaTfVq8K1rh40YuwaNK8wSuFwNtalqz9vkjCbo41DZ
qgNna8bMmzd2bOfqFntVrs8ZrgJ4KNbVPYqK0vRb2zdZ12wGYHA8TX3T+FdjABLfxFnmo7VNxiQ/
0cxy2G0J6sE7D8pqGorQii4Rd6NJy3GTwXikiArW6nzVCC/YVp1l67IhvDpDFRxGoDChmMNbMEYq
OnFJc1z6SYSr2LUXQ1wzZpQJelvY0GQi4RdlOmbFtc1L314HyIPtgA+c1Sbb5JqUpQ2TuAqS01Zo
Wp8hr+yLTzW8/4Hdlwmdx3bN2OxcfSLgKHu4KaCg5Z2Cmq/OEjUHjWhqlVrtCk/pvhK0ieBSlY8o
dDkMVEclZyenUw8NKb+SVRWPreoar0hyVaR5beA6cw5ST0ZVXtS0Vx28AqT4giu4M3jUrKfim/W0
P36fvYz4kE5sMJVOiWFEgOnGtG9TvdI51nWu+nZu4jrCfGyrTHV9MblHLOrBloqDRbRfctgYwwLm
ddC1G+iLg0anSjYD3HCr2sDbNfxIaBuXX3LWDplWKa2T7tE0MQq8qLG1zzIFRgJPoCo/dfUXkveZ
f2v7QtTbqmLG/yB6qOH6EE9FNp7PbcXqs6KxznyMW0a6j/1A+uZ6NkODITPC3AcUpaf8Gxt8XV3g
3q+SlfYAPYZtKBPbE0AbiwTgp9hLtkKM8qNpyi7NVFV1gw2HwfWIrNKk68QQlhoHJTqRcI5QS+AO
XiMzbOLKk0UawiB6lFIlzCCWhs0YeFkaytLNc7tKemoEXg0Gp6KEwzM8wX6WHjXq+GnR5tKO7ysY
v5a+MumEyaRIq+FAR8F+Qz80qgMwfDXVVadwYc+82vtQz3EtAYyQGo5VFe+INl+KPuXZQ9Ygy9e1
gNe4xCpvkr58hClYCwM54k9FD9Opznr1t7bqvJKoZpwb8oM3VeHVymZDCtfv1gk3OVXAXAhqY1f3
lYu3ZTI0GTqv01Jkn3AdoKDbJu2EsmndmipopxDDqbk2qwnA+7SB5quoDJwhwi5WO65nKuY6WI1x
nfm+SirZmfHU9igx9kToOA0M7HIM2UCv444lVbfOE+gh22vH4SKVw7L/LD2qAnjdRnc1VvXIwUlr
eFHAegKQHgDTVqSwPlq5hrirOZm0d8FsGmdAwqUAa45iouU3D8GwgldgQJ2YczC9LvNgvVH78Aqa
qB89HHXgJaYMey2SIJSEth+7ybZxmI+wwAx3L800bGFOrPmPPqjy4UyiiuPbDnNHtpMLmnRWQQX3
FzB4lNV0YhPdCeg1aJecyCEH5JZ7pks3CAOTgGrMQ3uDYlJ338cATpyv4F0wnrkqB5dG1orpYkhE
WYS8GtIurOrSu8tNXiZfTLoJZOODMwYNFVFdiTZQpBnuR9D5J2qz6mMBsOWpLQGWmgf9w+vsZ1aO
F10v4VAmHVLbqYwZsDYaSxG6WAcrLzkpClV27/EAwCQVeRzGII4gKrWNMjrQU2Gtze4aanFzktoh
H85LmmXjDe2qAH0tqVeT04TrAJ3HpoxPC1cwwHBmWo7u805y9P1gqA+oa49gBWvTjKON0gx3WzRX
UlE/OevbqlqJoqUbKZLyVM5dfzFNvZk2aQ+Lhme9zJrmROS2qn9ASx5fkCzz1n7tBfZbR/rKgzBa
TtkZ2b2UwMy5JyDJu/qOV8m0Kjuq+y+olBm+MFUyR72tPnijm39I5OlxM2Fq3P/h7MqWK8Wx7RcR
wSCmV6YzeR7Sdr4QmWknAoQYBALx9XeR1dFl49PmVtVDR1R0Vu4jIW3tYa21L71unqZoBPTuBg5W
pM8oeYzgJncepTcTUlr9zeFKnx5Nm02JB5L4T9JV9n4CH2lnDXM2XLaZPrEnQ0h334pyutCk9lqk
OlHH2Zm05mCmpWFeQvxCuXeaUE3C7NZOL8Bazv1fedFNj8xLBX4POjeXZt3W/jcPHsz+PVC3m27q
YubOowcWK72UpC6doEk9oGu8DpC6k1144qWA5EqcKa6h7+2NWhmzJUzYUdBuL7qJXaJYgadjmI7u
oLeB1tqle2q7CsULmbnoo4upuZCIzeNqHqqsDIvSx3OnEYv1J6cuvP55MvFzA/C18qC06ranQU7J
HS+R1H/XGmAji1C1xV2DfrWNPwF5pldH1UBtSaMSO9Pub7gpujkwB60UgZr1HMfPgYs8VY6jPBz6
jOQ7t0XpIMzMBke97C91zfuee8OkTjk4fvCOvShS8qY3oz7dNrUy6Q8AE3ztgRsS+95W3EqUxfPY
60SFZwXvztzdakhBZ+uAd9bysqRPXeDo9k7hKX8K5xEn7DdYAqP+xoQ5IZiyBbfHn7qVE+dHVmqT
/2pIKB/IaB7y2RUBgiQ5o0GEfwNAzdJY2XcBr+VCBqzRPSrNJOtIjXe819rZ54HvKmN6oFbDZBkI
vIdMBQOnEB4L3KYrCiecTJmp69RBtlCEfZW2fQaecjsCsmh1xDiaAC4ujUkASHx+MrltZHiK/dqv
rWBuTJZOwTh0g+MGLdjIdRn5npBFGQ1ETe5vBnxG9VB2vRRZVCHrcboIPVAjf8KDp01VKBBwXQpk
IlqUlcxVZmwDs6zVEc86lc67qmBF14TQLqEgUnBEOhxscKcxW/gNl7bX4FnKnOHopRPgeX0hUYc7
CUqKEvR7ovUdjyjEsupo0ono7qSdzWMe6j0zewKPDTjAqe5UCckH3c80VQZmPQz0ZrS1WvtZutJq
QsRRzh6Abp8cJ4Sjmbh3aV5I4EDgOdwrY/IK5AKiKrEnoZmlwCwGZamN6c/UdjUPwDTkVnIIGq/s
szbQsxR/MBI+YYfJ5aT5RTU2XnkKQbXEPg1NWOugjPygkHojdgIPZlr7ua6phLpkJfudI+qxL8I5
rRoOnS1sfHpf4NLqTmCgYOcX9WJNTfXvuTUN87sNgnbEexQ6w4ZmDromfTfZwDc1Cky3CC0h6aaB
w/NW3TQTL9oKFwpwYy+QXlf/6E3DfoBIBQnnMrcINq/gEOHwCM5ukHFSXiOE6UN8KYRYtORdU8Xm
oGRiKDF8lxMBHQuYD5dFc9bO9TXJvFSHRhrOaGDUZpXtXG8Q5ZUz6nZ+TbWqMS5b1vrj25yOLW1D
zhvjviha5DyUOW5z21qsrnDIzckcd73bOKAsoAHlH9DrUwT5otcmkCmpbBopr9Z0QAMsYlMajKPR
5fFAC7OIKfc1ca9RXJSoBKEXG1lU5nWbivLGRFpzKoTNw9zQquqB6zRrr01mCDeLKDjiRpAxnEHR
oXxZRX4zTEYFjbwGNXA4C1M9T4M2fieS0H0xTQV2l7T+s0LLDz1xKiZECSaZYzFO7U7WVnGtZf5E
I3si1iVyD/9FpE1z5+MW3ViM0BNJHXqLIleqH21N4JMOblvd9LpR4x3167S/hbu2i5BxWl0BpFzV
p5a3bboTtq6l4RLka1MkBVR6fjLaON+6Ejc3K20H0jMtLe1g0irvNHhQvsnV0HYJ5a1qIwIyWxeX
9jQeq7FT0OnrdVc5gUAJzD3UhsAdZrrVxykqLLeNDed/S3xbTAqiHjV9M2flH+oUGafsTDeygRDA
hULNJdJJaVoPju9ReGBmtbqP/NJpq6MSDfLLSPKODUfCGmu8SRHS2se+oh7XArPN7YAL29cO2jih
CsB9o9EDUVnUvKKj6qcozQc+I/mdwSexClt9R0LXh2SmqEBk+HNB5fpjOCN1O0GkQbszRjFczpK5
0Uwh+mS7yDaRgRE4bs3HGQfIP4u0tklHL/LHumkCJvyWlOjsusIaH0Dm6XDpqT156XMvi7wEIrXv
VP6au17heqGYinL45TA6zpGtTNEfPECOqyIqkMmPB9ObzPYl7QprsiKFtjGYoEjq/UCng9+9jXpe
l7HTuvWdWzvTLoe/DQyCROeQtgNKzzRARU/6sYvH4kAtme/7AdVBySWkBvOaVv3PxlJVbu5Z64ih
PspK08LZyOA7gqKlLofT8Ma0CHwbj95FlU6AXEdFb3K6NMXsEYUMXZiGlgx+U0/fJobM1oNntctb
lBIM0EymzipYwnRfGfFUDyM6XCXeUnCm3eUOMIqyWjqFvZ9b9MJZ3hS7qmty7winDW2vLQ6qzRHW
aKQsHnR/yh6JnrblfdqJ5rvROyq/JPOQup2bdLrZXDecaMMvc2r88pW5jspO7WjYePpsGMOySvSi
eBrYFrOgHEV97FxkMq+58suqfy0mrsfEbPnT6EzTQyEm7yANU7zYg1YcF008yDCY3D8MbpoWKFMI
ovc/21LOLsXByWzExVqeZ4caR1p40Shl1aFQ0RpS50FVdZUxJa2sGHMCVgw9/z2gs62TIDedeSBh
UVH1zXF6fgf9wq7DkbUFLmxYuhBm/DEgPcfGukIvNbzXQC73wcidis9hxXs1vlWynuoH00bTEnHN
TEqkFoDLjEMZakivrDKiw+ShauojCUcFbdRyr7VCf+RZKx97wytk6OQDxSuStUJvXwuJGkV+adld
b4mddHEegUxlOeUq4qoEnjlA3pN1L3AOYAJYbNYjqH6B9ftcCwSGbjyOZTWg7KIssIAIQ1wyMCOQ
BRkjOEczqtw8fW5r41lxN7scc8dLpMeRn6FbdoPsTWvCPOdaPMq6TOrJoLecuyQai85CYUG+WVZH
43nOjKTtCrwEGQDdoZWP6On4OV5JVJNjMgrweg0N8Bwc6j5WRlvv24yBVTc62aFLAeh54Vk2hQoU
aJR55uYhtcm8xzNdB5WqhrisffqIJmoR0d5QUVYR69D2LUXPNq/RrC0taHeO44OmFd0hm128G5Bl
GAAEzVOUgwqjDO1hLuPKwFuKXnoDLsHYd5EwhdaeGCgrvRNpkg5zMkP/qLPCXDkTomY7ZemTbo4o
h4UausTizhCtGnqk1U5nXePr+xJigG5VqSkS0I4t+YWopNZFqJ/ZR6/geRcNatZiivzzVROF++Cj
xG8WoWdR4iEzpAPCWEPT7VPdW4tzNAmzSxq4dW5NT7IBbOdlKPjo47vpWZ39QICaOSxI5Zi1+Arg
KUzAP0BktXigIi8t/HV918jf2eh12hC0Gbasgd+ts9e5z9mdK1vmI8UVqabvHX3UpnvTKscWsaDt
cfzRVhlsanCTmGjo5dLE619Gaef5m3KqDvw82tYdC1uei8ecO3DzvtERGs3TkPLuOA24x12IX+Q5
EDJB3dHVLvtsqtXz7HLN53tP6DnSCU/DhW3gM80WDJViFrr7InHlpiu3r3tK4nmwWUFDLZ1rJo90
Sp1KD6E4pvI2BtEFJREtKJjuTJeoOznuHDi1Jy+5QCDsh7NQtvqltRK92czXvllFr+b5AP6pNz6U
FL4Moh3TpGoaQJoVikMzGQDMiTJAzsVF00AlytI0FcPhoY6LKuEQemwe5703yIrAJO6ym7+hdtd6
Ki6r3MlpTAALbYeAdeU8/1AKxbwaJ4/kdhmkcD5p5DS4ExMEgSbQ3sLas/vxxelQLZ5CTpjnqSTz
auYcZqusH4SL/WEH0aHwDXyxGKSag7Yzxupb4Zs+kxcpbjvb59as+AOFzqYWiiUMPk610xoJ6gij
FWpk5sUjc4n86Vesc99GodlVCHpPWQWWyFqKB8id+gPreWqdlthpPOq5y74jQ52eUIAh5WPfj12e
gOA+mcdsmEZ2n44zlTsTqRBOH5nxfmisYOOEipu1YIbRkkBxvJYmvFs48KbTLoxqQSLhF1rklBcN
qnCGq2Zg2eTIO3wHp9LMOtGZLS5H6A0ryKx1pQes1qzDvx4F0u4a+Vqn1fFoF12+z4UJ2AQDPcCI
Xatx+9uq5BMLprbQH7qB6od+6vQLiDHWL53bzPYV6Jf+eCGVY16Vym0PczemO11v/N+ezFKSaD0E
lkP0EQjubZu3oDgpS0+v57wyzRjVXK8MKiOdX4oc7CPNQIIa5kDJInpXqOmLbrRfh3Hu7Lhth0KF
A0pFLBBmj7KbNznOT6jlTSiHVk2170VOQS9IXeOaV2z4JrKapoHZD00WFKIwghnx9jVts4GHpYkU
KEoH5QdVZ2vgAdsUZeJBa5y4b2aL3A1d6+HJY7acb4e6mggktMQ83kMqoH8xpEVxkWjqJm3v6N/m
0i+qAK9G9lgO1oj+lnLr7zOpUDBJXTLVIWkrdazcQUAS1BrTGw6s6mWZDjVqQ0Qvokam9AQ0gmwD
y5jtAjEFQ8BfZ8q8bVxvukRqoAd1rZHY9TorLkYUnXaqaOc332uhUuOj3LZTnFWPSnP5S1XU+kVq
zvSiY2mx73Wu31S17r/OeeaXQVFPTR/mRTXrYWemwxDi+Rp+EjfNSVDpINsEIzgdN44GoaQgZ82E
+KVB3B2bLZK/xCTQQkRl1kFtC48JQFqNNPMQ8n8q2/WdW1tHFG9H+aj3TsvCBh7nV1ma8gppyRQ3
EDBFFyur+iwCnzAXJ78cEbqQpjRF6JRd05ykWeluzPRW6SflMDVD96038aK3Zj5GKAeiV0NcOtBE
+WgH7Wdh1WnIZ9MZE56mkscoHjZmotWmjDzaIhjQaI16Yo3IqkrAARqqCBQjg4ZT5/o3JRKPyIQg
JoLXWkxHyiGnfeOSBoAwM5NuBdqrKhC/6zhngchMad/oTjnYoeYO4xRDXRhlfMeYcEslKHZ2ZMDd
T7ep1Tb9t4JJa4iFUeMjGg2B6kmajbS5nt2a2YhcxGAlQ05N7953WW8lqBGDWZHPRV3f9obLmhCl
Wh0lepSvcGaderSbGHjMUrLQKDySv7KsGeyECKLdQHBz1OhRDqZeovgpahtoSL2h35kzKHS+qqwY
1YWa8UCHNTwjiw1da1snlHlGx12lpd2QoUZgV5aNG6CqV1Qc2V0q0prkkWBz2kPww1PDhfJFf9Kq
svFCbzDJ0ZhbKXbanLKnsQO2cd9zwi81Zc3DzsIdrBMJEGdzi2Kra8VTh+OO/1xy+q002mYKcaqN
/BpETA1Q98JqUdIuvJnsraHIT1lf2aCRl7mWotg6kArFekQlx6Lh7BeifHQnzKoe3aBwOnTVAPLz
ZEDGQVxpZuFkAZSQehrzHLo3kcHc0Y0RU8wslvWQ4kx6BEv0GkseGy74Ta64d9OVPLcCqrzsh6ko
kkQFBI7ZLOq9Mz/2llX5Vxx9HBeESoP06qLDl2G3GRAVPLatJhcXqV/5P+fc1djB9fpW3A4+slyD
p1wP0ZobXjsNmRgqf8i7H7yytVFJtACRLxHd2QL+Q2dmYx1ZB6+B0Jvo9MltUcKMtNRHIS0eLSKa
Hx3+a1xoim3xnr9upa8JJcQDwscFtQpELii4gsDysSHsltygzYReeh+NcfNSHeVeu9SO6U9tk4rw
R5LqXTMdHCfAFdC3x//4gC+uMbajyQuFYLkLCxObXVw3eK8tlPlL4ycqkPsKUqHG3O/1XO1aIXbQ
2Y4rdLH422D9Qy7gf36Kj4EH4PkBKLLCG9UD6C0Z9btwaDNEj6+m2Fn6Bth3jdr6ZGQFMJowImGQ
ZQoIxq4xA6isVd/sOnAhVl1eQspHxORX9eAlZTKctsBNK6DmJ9OrPv9coaSRcayPGRe+USS+aAPe
+VfAFkd4+2KkWnGqzVswrhVgbG32D2rkHcKnLtnQzMuKjfvyh/8rnYErYtfulXnfeSFCFBTAgWEP
swR/5OuDvMLd/LG8cK8QuhOwKbzVXo+Nm9ZT3okQjcTEBrl7sqDYQJ7Brw0moBu/tra+Np/MrfZ3
6ie/T4Efg1clKMKTJ4PLG5ezF2duAsL0QNmuDGTrRHC631rf2KAvLctZX6V3y/VXxD7ESQVKwliu
hHcbpiIE2jyYbRkU6VtHLli1YW8N0PtrwSCwe3/k+0AH+Ogn0r6fswqll9DcdSxRcX4yIO7iXcDd
pr/MqNn9Y/7lJ5MrEJeoU5ql+mIyR7mh2c/+lpDLH6LxahtBazDxz0IvAH/246rmrCyYAkIlrIwG
nHmvM47uXKpdWXtuTM16+o1U76eYJQRsHBbb06z/I+CfsywSwlH2Am0mYM/7K0T1aAwIn3soiQ25
8V3Tpx9mAQy5MroNgPOykk8rhWYQnC+azZ+UxQDLk0g/e4GcJ71r8TI3ab3h77ZMrJ4SWghDKBMm
mD80h6zs0r03qa2hK2s6zF87BhqF4VkAE4PM8PGb+U7fAxYgRNhHLtoNQXpLwmHnFUG7Q20TjJjy
prsCZDTM0YrbfX3vzy6RoNIOfgNugr1eItUGTQiolaFTaQRlWnVoUMl/s4/vjKyumsly0hWGFCFq
WLHsf4I/H3y9jBUK7D9b+PcyVsd+StGf5QMsABuTOCijL4Vyq9k4cmuA7V9mbFC0cL10A4y/j1/K
rQaANAcgwkB9Tjpi3VSkiVov25cKRSe3AIRq0KcLwms0tfPvo/STsqk2OExnPxkU0zDrCAEOqDcf
f4SPBgHqpzMehvGkANcQ6cPXm3n2QFrQ4oJIMuQMABX8aEHMPTrVKZwIkOZmgBfeiNodGRHG7vNd
dUAo/G2+pKcMYvxP6d0/lL36s8kWSuWog4GsC335j9ZTgFVSjipAqDgN8OZHpfc4GWn09SLPnRiU
jC1MayKLyN1qje1IwPpwsUbXL4Ao23cortjoiH5t5dyzar03s3rFZ8to7JLBTB9h/FAoQgDOd8UV
YDJ7snEuzq3IhlipC9X/ZXjjakUZJA69qqIg4qqTn6bR5F7Zw2acsPwta7f73spqQb6b2xIdS5y+
X/yhwawSsNGL0In05/7HtKsR1H/3kmbXHPNkKwQ8v0AbSneAIoORtDr4bOxm3Ro5nk8+XvUW+M0S
0jP9uPHN1kjgPwdwoQdAeA0e8ROnzSJc6wajFqCkZ3tr791MEcGXo5F718T8Kb9oLyBoHDPIlF+i
fLXFA10zzv5jH5sMhTRAddcXPAX+TlQV1omY85uMtKCKjTTAPThmsfmyYNqXMQQ1ou8HenLSaNSD
LTT0mWgMoz3+/gmrZyEHE240kFiGqthnwAkVfE56dmzNE+1+yExssLDOftl35lZX3i9rp5oXcyj7
jPQePZ+xacOvr+L/+Kx/r4l89CtmjVZosxgpDt7RPJI7iahvuCpjKE+FfVxcFzoUV0147ADRy7aC
/vkfgKcDnMxlwsha4LiYx2ry62KJOLGbBxOKH9Oen6rHZe5B88MM+l0DXHuHvNXcu4evl392i8Gq
XabCQIHOWG3xOCpjnHUYd/3HvrgW5aMrN/QVzuRKeI4WdVITpCE8HB832HGlErVCigZ8a1IVZsh7
4NhHFnRbls4l3pD10SHkZyzR7jpbYDZwTjk0CEL7nj4Ur6BlWnu0Sr1oeBFRe5BZUoCOWT59vYdn
H0bQljGfSSfQdliD58vOMAEihItdGNrjN7RjEy0sT3lcYvqCjMsbKy5BDnD04N/EaQ6YWBjwuvCz
1zN9fIY2AZrDSwilP+qziR6U33zbWN5yBta+3YFyiwfP4xiQC/r4AecsQzvHy/9yfArPlbqc9ovC
Txpkz/rei7+2d+5Ivje3upCC4rD4Ekcy68Rp6MqH1NSPxaA2juVZMz5ogwCVL7z6VWbJqe/3nQ0z
raOiAjCcon2z+Qaney0v+cdpQ78bhxKdLbSRlsvxrlBQdYzZYzp1mItQXrnXfoAnY0de7L2KwSJJ
UD++MGL7uGhiqEO3ayFh2m2E2efu3/ufsAoAgP4GPyFX6FUOgIu7D4O85lClqb2NDf2j9bQ+J+8N
rWKAfCypPQOeE7KDvlsexxqg4RBcgZ0ToY8bQcj1ro/HaHkl1QnFeozGKcLmwj9shQTLEfn0S5aM
E4k8BKbXSpMeEAfWNLvQkYTkSNfsaxRbvz6k5yz4BuhskNq1cPVW39Xg+di1/owBE7kW12kb+nKr
0vOHC7hexXsbqw/nZQ0a/Z3eIeAobtyDfCZHM6xiht7kN0SMofdi7PIdUDx48l9ZTOM0tg40nmIW
59HW0382ZH3/a1Zfl9fzJFuCFS9OTlwxKDKT6+5KD4BK3iivfT6x4LUB9QUqtGlDIny1cAu9YQ1X
qUe7wAQ58eikV0AG2fX919/Q/BzOLHa8RW4CjNNPhNa2L1InR54ddom3my6cH5fDvo31NjSiMga4
/+hF5B4h1SG994Is1AMTfQ8W6AmIkjt/s258JsJbyrQGCHVguwMqu3opAdSitZVmEh+8Owy/+YNx
MezasN4hyNs3SR5rISJNSPTxGC1PyINtTstYE+3grz78hLUYEm11ABCWn8AHMCbRLnxeLjKUYQ5L
LM8gQp8glo+35EbP+MmPdldBfI3GSQ0MCzpjt+7BvWYPi9C+c/Qe+WGOzMcWpz3yv49RD/TmMlWG
o5Af0qO74a/PlP8+/o5VhAvOBwhjHtZv2gFQqpfQq9mlUQ/AWOIEYAIlfmT84xBsMenpSNkhnPQp
5ZyJq4DEyWUoZ/BfWQU9AzIX8dw0t1+f9/+xuL8tra5whXAhhfStxBX2dvnefpr2flgdjLiMsmiR
qt6iFX6+yB+XtjrQxRIXtQuCqSqaR8+49up8x3zrkNkbb89nd+xj+iQIf0jLQIVdd3cwSqb3vLrF
sW3qY40JqYbdbXiLcybAdEUi7SLA/ERBnaxaoJfey9Cd+xBA75710b/4PosQLuJk9GrAjv4YLEwI
aEeUl5bvAxzS9Fz+6KCvTqF/bWpJ+SAe+t1W/H8m+/BtjIXEzAeoxwH+t3rI+g61xwHySWGRB+qu
t0L3l/9Lj3mUxT6mKDn3aHyLZ/O5ejXh6dkmO/3ctr63v/L1VUM0xyvA22r9PplaTCoz/3E8+XGF
q1MPtBsH2tfDlXbVCXhDkFihjx+IVtsaxX2mEfbR1Oq8m16Zt2WJzeyjBUz+24V8OY2cgzyBNxeY
z90PdS/u82TrcT53z95t4lrEXB8c0mFEiURt7Ftv3OjZ77763auXr8/n54h5WR3iHcjXQSySLP//
u1iWunnT240Epb1JLw0nv9RkGuEw/4uL9t7M6kQKURfMB2IFgbmImZU9ZtspzdkNA+RxGeqJAa/W
ailikqwkqS9DihTxV3dokjqcgHQnAVrutwCOakdMFXhyMbmp+MeRI3bxnenV8ozZdwDPcGRY9nWW
zPUiVjJsuZKznwpzACFCgEGvyEk/fqrJT21eCTgrm/In9EB3wECCmOjRjUhtw846iVKKoetsdPAe
FiQGeVXELBu/53xLQfTM90IKBdQtmlcexJ1WXkIOtTkarUBkNIBUkfHQN5vQzo2kp29fH/JzQRiC
L2BoF+44qsCLw3p3ysdcSsDdYaqmIbD2kfY87LK4DMfEuYDa0y67hTp5thPR3IbWm60F4tRtnZEz
hQzooL37EavziVDVym0bP0I04aLs1F72epC+yqP5ywrriB7TMLtu918v/czHhFF0zVBghDzQOqeZ
JogG5y4CEd4A/gIIbWnsoEi7cf7PVEuwNmJCeRpK5eRT1D3xmYPAjLd6mdyXobzuBxIETAhQ9yf6
JH6ByZSQxEv8b/WmGuafetbHnArGoX+0DBKD3Nt6QHFmQriua2BcxDVmt+8ZKjVu6KswvV4GOTWb
0jJnsjhYRLtikUc20JFcPT9EV9Stbeyqdr9MMWmujQSjF67Ji/fqPuaP5DoPh8iIs2d+2V26h6We
oo52JBPvausDn3ufPvyWlVtQNXhYrQa3UBzkxRjmbZiD1/1nUiND7yFigUoU9AS308czz/zSTUGB
GAnX0lz/eKuk4GDHt1yGTJk74KQhjdSB8/n1AT5rBN4M52oR0VvHT8OAfuIAVHA4VHso3gQW/ce9
FHzLdwZW2QEwCCUxeAU3VE4govv9E2bivom234LtbK1kXXIrNIhZ1tiuQoE3NuZdIilET77erjOo
gGU50D1cqlOLnunHjzKjglJiKBEu/IV3rI/pwdhpu/mSh1szM88fvHeWVv6MzY3PZor0ToBxEgCA
nt0JETT3RYR9FGBqR0CxZC9Z2F7n0eaTe9axvbO+Onya5OA5SVj3ptiZj3bxVDcbrYrlAfrkVyCl
v1T6IK9orW65NIoOgD9Mkmx0PISj0SelPpz8cdhDHv07hMnZxsc7lzE7mEKNkB2fCYiKVf0yh/ZP
N0K2ATM00RjY+dem96dugZDsar4ybvPDIrd7MJ95zC+9UD6/Nrst6eSzG/vuN6wTlt4U09wj7uSY
0oVgKwFF49Gsyo3NPXcbDOgcYq78uda2hABPqi1aSjMH8B2gUABVnjbuwnJ11x/wvY3V1c5Aopy8
5caNaAIBEL3r9vNtdbDDMnEPW3pG5/btvbHV9SYgTvigMyD87LXEWm4CpkPb09Yc0rNP7R/MDar2
0F53Vt/HmKBuNHc4I1BULR7aeIiz/YB6Bj9pMYFCpK0gU2lieJa2OfDh7BLRJ7VQXkeNfa2PCWYI
rrxC1pUCaOy7GgDDN761BcU568IgRIXNNAlmRK+BTZAYwBxBhvQRPC4StuB2xVohWDxLYz6ZVMwR
sPxFCGp3dUhF3752/pD+i7jp/W9YtuJdxAiSoz0WHHlRDdVYDVDy7rbO/kVhCtVmFIlsdAjRsVj5
sNZu5lGmiAi7Z5mYv5fpAPNTt5fQ76gXrdE4u96qop/7hLCEGRIOEBf2WnhY1RiO7g7mEFKb/Oa1
eHbktAO7++fXV++cGYSBBN4T5Rt8xY/bN2q9DyHNGf0AdZPV9wTvXJVulb7OG0GHzCfQLDPWEpGl
TcuGKBix75cOFhK8n0Ukg2WsQnc1Xiy68lullSWYWnsUAG7/a3L1xUwBzv+YGcMfvMBfY/KMuNoW
gj339Ly3s8qNHMrdybWxtAWX0F83epQf+9MyH2+KvVMZsV0e6VDD3izdbO3p6s2riUOpOeoDyER3
rrPzAPzV5MbdOoOtAvzz3S6uQtbOEw7o0lidez8nS5JADtkBGmVRlWxHqWfTg7+tIdH8eBZ7JTqr
EVgSv0DmFwxv01IQCPMHJymxg+7D10f/3KfDcBjUVHBM0IVfLc4jg8P1pSCrij7q0KSC0kAw9y5Y
yCqECtTX1s4+B+/M/akFvnNUfVlDk6ZY6r8dRpNdwV9iwogfi+/1zo/7uLohLEF/w4y68v8xsv3c
cXlvffUYgVw0CalQDDZpNYIZNSJ/JvVPVoC4urHQ5a9aX733plaPuQ6QEJhRyLn0Y3XXJNVuKb+l
z0DgR1sKk1urWj3l5QD0BBMwVWazk6jeuyWKT7sGWjobi1qu06dF2cieXMx5B7lvdd0cYVoM6MMh
bGMj8X7goQExFY0qmnRVYD5iVgzgKiZqqMk/HpC6tIXwlv9te3VQMezcn3MPtofcCTLHDwR79IsN
7PXZkPadFXt9+8ZxrIFSGZAlGIkT5nGfVD+WRrkRFNcTnLVKoM611KHd0F4KdME2HOdcrLnodqIS
vqBVyMprowmVSkdpGGaU9aGreABe28aXPHtk3plYOWwQaLI2J+gxFZUOwQYjqEsgjqatiGH5pZ/O
yzszq/NigTIJqhtW0j8z8J9j/rroVjqH/GAdvS6SvzFJF628zUlfW8tbnRUfYmGsG2GX3CIxiYFS
29PEiUYUdbrdUl3Qoq38csPkp4NjkrF0gFmGJCNYVWNChzwUfvL1BVx+9xf7ucba9JpHewtcJ8Ab
7MTa93t7Z/w/poGefYPencA19rrpXerky3dzUSqyMKPTjecdVCTCpfHq/gusBK7238dkje5pUp9C
NgbmuMhCV2IPtY03/PxB/KNrvkR51spFclpQBjYdNg7iZNYMvt3v0bqw89evv8/ZxxReHyKmf8ws
N/vd69agwu0rBjNA5GMeRoax9oMGrp3GIVgC7ut06gndmgNw1l0AEYrkdIFgrSc7Do5aFEHwqOnt
LwEhq0JuSPye3TzAk0zMGlzKWqvbZGuWlnKF2oUysihXl0qgNtj+Jp624ZXOdYdRGP2vpXXrv6it
HpVRWFpGGzo7P2Avy/BdmQVDZCbuW/f4f6RdV3PcOLf8RaxiDq/MEyRZIyu+sGzZy5wzf/1tyLsr
DobfYO375ipXqQcgcHBw0Kf799lrWHorRDojaBu07qJh3KrGZw6CjLHBcvvbDAwrBCoRqHAVTPUc
p/NYyb6o3LYdRPIylvPl5iJYoVALvNTFWu05BHToStra/D2YWIq2rHFQazvMUZtAM/yABulbvTqo
CdrRA8ZbzubLx/pzkB+x2kCQCgxawQBItIPUZGdDK8BpH+W9ZBd3+q5y5BfeHu+6vyYHRlW2AV6l
dX0Hs0ZJ9sLqB6RLxymDgHlEl6rDFxnax0sHXUOslU6++kUkR1ECrUiEr6lRszlBGamEayC5MWkv
402wQ9K9R38XmLbFDets2jw2VmDUrLYFRFYbgUS/3XQk18Bpz3mirzNK05tPRqBN/jsoavLUOCmm
gCxCkjx1sVMQglbhNkgJk0Nembn7V3aj8871T7ZFGMIe/oSlkplWrYQQyjq9JT0Y74Se1v9sLVJJ
lt8hW2DWu87iD/X366i0J/uvfBTygDx0QHA5pB+8IZY04YxH2P1wXzENl7uL/VD9eEWSvcAjxPzp
kO4jm9/JJh+bkJp3hMf8S3Rbndq70Wd95e0w/fmDqFCWQES4hPQW3sYX9TQZqtMqyUtRzTYaEdzr
g98spoNM+u/gqaCWZKWScCOucdC/Nd9kK93Dj8nRXw3k/+1OeUz2D6Gt2AzU7SD3iUoFObmuDZTa
yPXNG+z5G0TJ/75XRb6yn27YPvfbiZAB1jikvBUFkek8HCidLEKnC1XS1kESa3e7wuUcXjJ7l/iT
hzafMwLDZvxZAVITqyfhWOoLyqUqeSzgi8qEbOQEvbqSkRGR1PsiAK2AqLlMuDBYuBQYnHRKu7ey
+tpPOyO/rYYT1BEZUXV7i67QqHCXyQGkJ8gxK3v5bclbOcpDwmypd6ONhtZ7klQKO27HehzY4AMT
OXkRjecSfKBQQjz/fngZyFQVPZLWvJdc/n56GR0BqvmllXof/3IjV7YlL/wSH6MTKbTjWHH/E3eV
zCc937jyI0zBRoC4Up3/kqQRxTYXUdbBDJxsCF+gVUa4z04oCLiBxarubxal13DUzStJtWKelQ+4
7EtL7rH+6JZfkz1rijc/LWoBGvoLdRUzTW0ROQrmjuckqBDdyHt4Jed+7QU7ozWVG81T3fYuuy8e
+0PkXQ8GZL4u5hMsNTi14b0LJPrz+ewg7D2PEYJ+nI5exHlRPZlBlth1A1EZlu3M1q6EDuK/YFQG
XPAZV0gJOa0j/bVOi9chrR5Ho2KkP1vn9AqGTn/RoBPGooLVWhyhYoJZ7F3UhX0Wk2WzoEneCdHJ
CDVTnS7jQKusha8qHpqgmOKgGcYWDoThN7uSk92zqlObST2pq+OGIoJRqFEllQiq2MVS4awIbrKv
+n7+WT6mlnYz2vNR+EZ8OFPG0fxRs7xYGytEakkGizGOIXkjB4kRwvyW5FZuC60eO7dku7dne36o
UP0zRbd0Y5dJndkKresBUzE8kBMlqjK8k2jadzgsQHUrtIx2cmRYUUltiQZ41kvs1sG4RqSCeRmU
PfT0gFhUUJuU3hqJceBvB9LVlFIBvBTbqC1E3GLEe+GFzCf07E5gZbvDoXpIH4Xn4QDVIq/ejTuI
Byd+f0Q/iRuckrf2TzaJKuPJGU2QeP2hxhpBuKtAgz1eYkMBGUCjQru+dLW4XmBCpfp9DGOoVnN5
IWdEnO1ts0Km5qCD8mLS8XgDRpueJzuTHx5VvHvBdgXc5T+5iMBw899hUjl7IihzFBn4pEPb/ZVP
0LQeUs1veAi3XA+km2sHHD3QEAW05n40XaxuPDAhgy/wAEIOn/ZQA4eQ1NAxqqosCGpDTMpYinyO
idPrd5GDRwGjzriV+YJkCE40WFWwD6ciTArrg7mqMYTeKFSU++Kwe4r0Sn8X9SpTdiNn5H/CjllD
UiEG8sVyBMsoPPrWt4sCNd+RVTfYmDQND+cot6ChGJVg6sxR51mECUE0WlLH+Vk53sLsmLGrNxpq
8MFJEo/UFtZNHxY2q2+fqsUE5/F4RGsYb5Un4RDfkIpie8cuajOxyEdcYRmtlk4QXRqRAE3HCjfD
9FjvoLXqsAndH0/u1AFwNi4q2ZLCThJ6AViD24m4mg3I23Ov8nNPuckeDCf+SUybBCvyOzTRGF+N
EidB9QcSFufTS+UorSyUhpBjevNF/1L1i23Uyev13buRmWCk6JqF8gO6KmhNE17JofOYRLkJj2O8
aPXcfuLkxiyhnG9fR9p6GjmDoiY1gmBrqckYTXJU94UNCQTOKnwDqnZgD2qJFfiDg64kC+p3fuyq
pwCtdwfSNnz9d2yd7me/g5pVyJmlHC7euHZbwX3o4yrxPbPj0+hBZ3M0oazdOIY3nCAACMHuxGHd
Qrf2JYSm4YUFvzMN8iTn67hahiaPlWUENxwShAq0Tyrn+gg3UlttjUCFfrmcu5rP4QpVRv0zTFbf
WiXdSfpsdZDnk2BIch1uI3qewVEbU6tKHOxTC44f7KNewyQT/KASUiLAWL0GPAQir+NtTaCGVBps
Dkwj2FTnE1hCyC/MSwm5mf4jGmRrmkLGSc1CoD4RbLLmWOuAoKmPfCTCJOXn9SFsfSEk6mAqK7DX
goPT+RCCetLqSiAAcWIlofE1TEDVho6nK8ElxoLi4tfrgFvbHGa3AFNEHkkBtSQyNQmlERITeB1B
6yr/rkyaWU6sI2fj/oFF/YlCrYQ+zsOIkxQSoknTGe7IHw9mrJo7azBUIOF6QefgWoPoLC62ID8W
Algb0IC+PmVby3o9GCpMdHD5iEGkh9xkGaILGFbKqOK2tdbqTtILEPFE8hUxthJrZNSZvRT62ENk
EIFJ4i1lvBU12AYtMaPT7DoK5JnOV5+gjgEfL0CphAaqq4/l/DCnf3CuIOuAeiQMNmCJTi24Gdqp
cxTLI9Qjd+mom1x+O2ssl+zNgaxAqPVWJBUUKwuA1LVoZ9A1VwNPhQ/c9YWwuVlXKNRySyC/GfMl
UBrNa1RlL0OXr259KfFACT5dx9pcdCssatElobDAqw+fRhmN4S7mhQyyig14A3ACApumaXfX8Vgz
SC04WABONQScoZc8gjJdatDIqw4RlLquw2xV9rEU/lkOyLTPl1w8GXkhjpjDMHfSW9GKD1CdcTtf
FEy1N2GgiN7N2a8ZV72tL2egeV4Ga5+0EFHrA2L00I2MwKycirtigZXo8GOpSjw7xbYa3//BENdg
1DJBdC3LeUZGH+3gT2DzN7UFNgseHtWXBgpn7F7rrW+HLixsLxiagFNJjY6T+WHicw7XyUC2wA83
E1HalbnwuzEJZSsRxEb42uF6dOFMnasjjPGwPMxFVmHbFuFBRB1eu8m5Pn8XKx8waI5C3QjulaSX
+HyF8BlcDcsAK3EQpPDEGzUU1LW6hB5+PstvqaE0IWNRXpzyQMSAsJ2wNNBAQM0fGnHjLim7HGLO
zejj/xcbTqXT0/VxXTLWKBhqXUC8nE8KzCLqm81RtoSdiqRTOQQ7+Oq9Lw5oXXeGB4c3dqJ7sUA+
kEElUOBICNl4KsvgcpgWCQOQox3eQb+lvoBe6dZuDngrtBRLekTZ3P6j0X5iiuefUZn6upwnYI57
dESJcIgmbr6Rq1nSHkKyaH6PbkNQfUf/twse1GiptLAv025A1o3zepwVt4SWsK8EXAtPFr1hRGkS
hc+uh4BCooPeS5l0DhjUIMWwneBWJ+WmAVPHxYog/38bwTSK87o6l7nnueHe2w7ZXBB2KKFfn+KN
ZYvUEb6waGEFCVihlm3A9zwcSFro6gcZLmyHFNXB6wgb6+YMgVqxcJNCGTDocMHV7wQ4uSUPSXj3
/4Ogzjm4IuZRHmAQYopPJPPZbk7F1Ky6jgFEv8BBWUiB3h7srKGeDKkTmnwi9BJXtDA/Rruvi6cF
K0dMbu3k9EfUu19o4JlLPHTqSPvl+fIPYXqXlrHxojYBfHCfy6VlBC362fhvBKiYgCYkyXhZPEfg
xD4yeIyndnQPOlvfsLls7bb3yhvjVEC1CUq2Vn4jeMpesbrHycvv8M7oLq8QrfN4n7XfqaVCfo1B
BKMgrUTcpem7WBjL3NDwwQtMLeLlviihCq18ub5UqPV+AUH+f1X3SfpKLcYleNFhTIczQecYmSq1
mUEbg2gAkWhBn6zIg+p+/vcbY4hgjQCPo3gJ3DH2i/oFBj1mJVbHKWksUfSvj4eug/wNCP94HY0C
RND7HFANWhky/K1qQvQdkdjlrXrfPn6HvVmB58TBFO+Gv5LGzJ4mp7RhvPtFRGKEWtT1n0GXQS5+
BhXEWq00hnrEzxjhzzf2vMVnnQtuoFlqjTkpkhmo4n0hwrJjHDwDVEQBVaIIRSJkHY6RiFZQ3w/V
MZJ+QmmXtWsvPjr5KCp0MHhULomU+/kciSUEHeK8g17JTQi1msjKbw0XurFyhcY0e7HaHRL+1GT1
O1BJyK85WcFSm6sV4TwIS1LVnKbU0vFuPgxgzgf3dcW6XW6uuhUStapz0mwXyhhgzN90ce/jQQ3W
amB+trMtq4UpjIxlvjE0tN6gTI+jC4wT+tiAwPgSckYPgXzplMsh7s13QgQWBIxjry8sEuJWhyOZ
Q2ga4Zvx6GmC0ik1hzp863K+ghJ/Fi/8KdVazazgiNEsyYA+aaBLs/x7zXUfkAo06uFCAwGViycI
vtMrDpdM1SxbV5zap2ppGVnc5edC3QTC0zyMM9DLYVBBQgmMUBOkHN8oQed+kSh+PwSvJToxW3V4
HEXdL9TJuz6Rl3sAmBI4IzwkwAyJFh2EsQmss0dYesFwwoLzB2yhGQiXn+oM4YMEsAqtUZk0Lfza
0FdQz0+ZLntVKN4pSr/PxHBfTepf1wd0cVig+xHNpcTCgBzEtCaW1mHRqHWtmEml36ga1oOeh3bR
cyyt8I2ZQ8cX2vINAYyJCzmiDFow8G2oFFMI+NdSTnd9HDCmjgVBFsxq6lIVxx78vhQT8Ws0YRRs
L8Ly8/fnCwMQQTyBBxhox+cYWZAXGUxPFRjsDIlb8+IR8ga4LesBqzHjYjS4HUM8DJZbAFPQHX6O
xKtBpsYxz8MuFD15IuKdwIgKGwjoKCasZsgSayBrnyMYqT6FSyMAIVG+C/mPcsi/XZ+tSwRU4JAS
a8iJIJxO63gsCYIRjKwWU5CeeqEyw4Yl+3ARBHAthSgnoUkj1kDj7HwM8JKqdTkvoSOuq1+mvnUT
Yp8Kk/m9pnNPUzQc2lpkUZ8uNg0yfGSS0LQgj9UgyZyDFkqYwJA9Hs2g+CtO37UO3lPi4/Wpuzgb
FHTjoJwOWSjwcHBAnGPMUt3nuaoMZlHrPgcvR4i4mVr7vQ95+zoSXQhC1R6aFUgU0cGITleZTsd5
mdOHapYGkzy+6PtpF++H586vHP2OcC2bmwRmU/510I0pXGPStJi5QR0h+MBc4KlHXtNue5BkroOI
5EOcnXtkZCimQhAE+kKoYZxPYthEUVjBz85MjqQe/S5+I20j5U16o/7Q3o7SHi49x3k3PIrPmTea
I6ucQY6gS3x04KGLGM14NCmnDqEQKhgEfwddtEPnp7vET/as4vvlJlCIHwyEVImyIaL4+TALTirg
02YM8GMu4pvS6LvXrIuVm0VQ9UPcdakDE3vjXocIOWuGSdJHjxCXHiSGKpR4cRyfQ8uwL+J40KvN
2esdxQU7mDchjB9IZvxGChsCZGUWpz9y++6e95ObPjeV2GatYJK/XPwKPJUqEDtGNxm9WeA00avw
NR5M9WZxRXziwdSsxoGkoUX6glgdzDQT72PHEGm9f/CoqJOPUpqnKvAUc7YG7JcQQvXExYPFiKOZ
eB9IkDqCUYMMgfyLY1MKcQpkPeYX0l9euYBiCFOfx9ZF70kMdRtP2+vueKje899kHl8AU0Psp3aZ
ghrAepOizAgijq6ZcP5DrzVjDW2FAtxYIX0O5yc8hlHRNFTwFJqnIcwoYTn4Bk/R6raUjNAKdCPa
XQ8INGHh16gMCYeqBj8FpCLny7WdpVbo8wz6W3kT3E2GgpZRpPby0yzGSPBrbdihaXw0VWFs7GwO
GxiiarC91uOS8VM2Rk08FaAsj4suTGGo7BV2ME3CN/pkokpyx4FuCfJa6jSlzgrvl0AoNgJEIzIX
MDmggLIOnkWDDNt3tWseuCK4h6XrbVixVE9pSuDH1CKRBFsHoQD0FgoHXuzlUo84FOFaOL1PtgK2
Y7jXnGTGMg2/JH60Z/GdWZh0gRrO4znMqYAJD1jbKE0V/PwALSVjCR4g9IZcaAAzksytWAt+Kqq3
eEvEZyOhaJVkcmURyE0QYZjxcgiywq7T4CTOXGLFRnYvF71dV1L125kaZLNWoCTPWoF2qhLlUYdx
auXgtotg1TOr9kA+Dx1C1xDUUQnvSlGva4xLDhRwIOZ6F4plaHETt0/4BKlHFT7HkyDBdpcV5Egq
cw2aOkOMJkv7Aj5PJh7n4TH7cwhks0lPRt2Ydc79yVmBtA2qJVApUQSV+oBQVeKEWMIeJz0ei507
ic1Z8m6yDC9zuJ3KaKC53H7k033CUZ9u7uGR0ar4dNJYu3KOHnzuTR8a53pgI3/lcgo/UaivV+S8
0VYJBjWF6QEe1T8jHTXc6xjbu201FOo7yXkPGqECkMEtdvFJdkI4RViKw8P0FhyhEUVcX9pdB2UN
jEqDa4Mb+iUH5pK9pdIpbp+v//3LWjRSxPX3oc45KZ5z2BgDoHNHR4K33ATCnAYZGxDZ3OKRYzxc
MyeRCpO10aOcBHqe2dj6/WRLEETtDtWhtkskEI01+wKjVstCpLnaQakbU6JihIpZo24HNad4D3Zj
Z8LgzWq/igfud9ULfp0FUI8y8ESJ2pNGTepQZolWVBhkp6SePn8Vm9gbcp/x6ch6u1j0IGuh/wLi
jbgn4/9XUTEZOC1fCvjENa7yoN9rL0R5As9aDp6vURxcLNIZHtrTKwN3K9tUV7hUBBHSGVazKnB/
RZDMTmzdBqpJIkjospbMZgRZwVERpFpgPB/kgJN5L01Ck0ueef6dMabNfbYCoQKIOJe4kVUAgUIJ
Wp3BFNJteLMTuRfYMcB/2yzYj6GbZ+kKlAooPWy6I4F8QNKHJbggWdWmAZdDNBmWnr5rHM3jDfSb
oH3nZmQluJvX3vVnpEKLJqdGX398xsZMbwOoc5EvaTiSl9VWvVOxeAybVd5jolJbA3KFIQe3RVyY
7vF4Yo8eX6OJYTBre/pL2sMeG15Nyo/rX3fzgEVjCBrJcWXB4+j5RkkHvh+rHBl2io55CxmTs5SB
U8zFWzTDVbKCQjrjrNhes/8i0pIwVaOmmtFzgylwqrAbKlk7RHKL5EKuiq/XB7e9cj+hqJQekhBz
oDfk+iAfyrS0ApXFtthEUOC6CjV/kH9V6pOFYzBOC/Q7zCSUY6dsu8YJYZntXB8H+QgX0WyFQn2k
BlUgOe2Ako24saL5qYNJufre4H0N4qJIu+6mTPuTz/SJSR8NBV7ng7IGZqlDzEyF9mTwnOUpA2Vz
/uCQiOoSWA+gxZwvv0Sp4B+NGpM5S7Mr9CgGTNXj9cljQVCRRF2aoWoXQKTwIZsSfV8LNeNBY/sc
XQ2Dihc1H2ZR2wMjOzZueAu+NJ4G1R9o60SuwB8bj+VY8z8Q8dqKWSOtXdTEDXGdFWkBxNZpdvzj
4pdW7JEGlXbX3KNV3u5ZBSsmJDWR/dJWU5N+QEpQCSEaKyQ2wbCKdDXagTOfrn+57YCI4vM/g6Sm
lRfHIe/Kj2kVXkTkJLlluIuv2su+j81lsfjjAKcq5uSSybvYbytcalfPkaI1bU5wwYnZQ5reXXjT
cHpX81qYDpZQ5jJs1lVnAxQC57A8QqWaSAFRm7wa4Zkct8Js8kay77N5X2Wyr0vcy/VJ3dgOcBKQ
wA7TBfKGQC2cZImXKdYrvF5ruSA6slEt0FkIw9lg0FY3UjAIO0P2GI2UpFeH+nhLruaTJqazmedd
V30JlqTlPa6bSuVm5sIkfBfiPFat66O7nERUNJC2gzeNAgpek87jSZcasBfT0f6T8fnjOOIKrqsu
NFp+++Z2DkN9q0EKlAzvPRgbilHdvBRmr/f3U18xcMjPPV+IBAe8IZSCUVSgKwoRXw8qXwEnUZqT
EM/fykn9yhvhoVADUA6ExtfkhsHCvJxCAKLJFk/PYDzgffZ8CnOwpcDDRLtkVUNxvG3MhpdRUKzd
3/1SgEGzE/xLNQPyktQUBukSiHAxwpeCjruVJVPvynPFOZohLgwo8ovPZxFQeAb+6MOG3QkFhVYa
RUOxFDsrqkkdjUvRNlgODoiS4U2uJI2bJknxJ9NINjJ6rfBOQ9NGuqJNkJrj06mDfgjk7kYOvzct
y26W/PSLoa1QxPOPpTQyTMXSAgtkgIvL2Mn7LE3eA0UHi1CEXaIywBJO1sFd7Jra+4MvuMKm7jqV
zHM6T6ZVnZJ9kxaWMHGmXjO4JVvxCutfxUMC+v34i+UI2z6hVRCvtN7j0d8TFH9QIMEOA4kVgQNF
UJpRJKdSmi0TECrkUgmSXm1WfjssQT8EbqioKuGVG9Sr888065xQJSI+k5rHZmf4iQr/vOH197/H
GoRaC2I6ZZ3AYcXFYm8OyX0n3yvy83WMraBO+ADQlkdDLrhk5wPhxbovtEqazDFroVLRWIlRmCF6
r+o/ChBgIGDj4t0GgNRBVQhin0gjllchPiUjaBXa9+h3dZRINYKIPP8LQsa7qhNMVd+0xQQQuT2N
qFKNsmBfn7GtcIrTHG/BsEPHCyq1SzhdrSErAoRZ7+0OXqlKAv+jmZGBbu0SPF1IYPLimNBoVQYh
k9uBT9XJzJbiEDSTFzcs29JLiPOziPr0cxgNU9VhIFEqCGYWBIqpSPHud2cLICoGAd9l4ohMzdai
dnOfZTgVqiyCsWXc3TbCdFKl+o9GA6c+0E6giyDRYaVYpBKVXuzIuGlAEDJQ0VCc62PZnDC4PkAp
mnh00ydcFeOD9AveOAJNHe46XQuOYFtFjMNto0qJVUwSOSI0fLnAlhZEam6SRtwESvDE3XhPXFzV
9/4oweKRYzpsbQyLeEWBrAOBF7wZUfsy5+Sg60I4kohTYaYKGmmLmBEuN542yZg+MahtqYchmtQr
YEh4vOmOgg1hnNghrmidM8FlwZpuGyt0WW4Vl9GNwIJ0h4CDBw+Fyh4HIpCeyfAXL5YvGTZTMvcu
X33NZ+O3kwMAwTUd/rvwELtwi9SkaEk7tHSZ0QyJ4foB9kaWkmiMadz8UisU6kDIKq2QRsRQMyir
ndYfpJilEX4Z3DAOIraDJAccA1pnMRFy6C+oISSLjd5WuNyLBdENcY2/vpM23mbPcajYUzVzgzpO
NJlzbRQgM/DhUgdE1VcevtQBV3LHNpg4S8qr1KyjVoughltJvQlNHCPyjVFdmO/8m5O7Gjq1DTJt
1opawtBHi9iraH58n0L0d0GbeXAQD8ZOMq9PAguQ2hOVgByiEQEYhDfY9FaYsRoJWAhU5t/EoMkX
ZEgqEgiBB3WN5VmxucHAjMPbGjmo6HJP1rZVOM9AyI1bPm7spPxZ17U5CYz9tR1AVkDUZOG9NeKF
HkBYBIPNw+C6fizBD/bh8XXsviV+6TY3mcd8db68apCF+jlAagqniguzhAwQriNQ865cVXcicLTh
R9uD7DLvJgjimfhy/6F/iGzn87sAsInDEJIN5Jl0M0MbQ41nnkHIIi5H0y7F62VupXBbBPf6niUq
dHnxABhIYSD4APJCJBQmTUuAVJc8+HVwDPyvvcMbRaczHJoMBiPvvGpa4HQwIzdektfmlZiS9u7g
cB6P7ih29WdzHj+HRt/cimCaAjAXCeRgE/mw7ruGExWsAZezhd9O2sn44NEkgUIPNhh1M2gnTgnE
hIDp78ry3jU/RCbVbDt8rkCog4CXgzLXM4DI8J+abyKbeItFfnHPVuhnYlEZ3CSH0CQsAzJ7vFX9
kHyOvJqcmvuQqcG8uTigBiaikIDTx7ggt8EBI4F+HggXkJpS0ZwBOTIncYkqYWrAZBROwS4z8G+d
eWtQaot3esFrKIP+IgkoeKr9Cz1lhU0Ep/U7tbmHrJydPLIov7QaEVYJsejFZiNeo+CZkw25uqnk
Qy0UVaMRWP7DTmLBzHam5ok27yuMNHwzfq7Q6Oq/nHVZLrdAC250L0nM6FV0JL/0gq/qEYV6R8eD
fmfFkLK7fsgxgan9EGYV2khqAEt3uie5dYgXsAh5X/K0oM3FgRI7GqPGZ1bJdytuf7QuGQKaDi8o
tXGaDvMYc0iiwULMs++go1uSkCK33fPqPWOMZAvQgXoNRqWZZSMMAZiRyP52SmYRw9XAFm5B5UcX
GNEu/X1CLSG0oPXr78FRS0esddSJBLIltV3ZQw6x9QMhY325zX3xiXKxZDhuloMAKNPwoKLXLXWC
HXoul1P9jkd3DXTI/2TztlEiXQ+O7prlOT6cUfbASkXuF+YizCwOkeYqBfp0VJPvWXyrzQC3mk26
10nJNS4PBoyzVcxql8NrXjhFTwOav4gdOmOpkDbqK0uFVj+rxDpr+hGRG/Z5u+yBdEPOrupWj6zO
wO34svp8VIodC2Va1TOGNctu9eFOqtvd7E9WiReP2C1Y4t9byeZ6Gqn8ORy1oM8S4HFa5ShcaIHp
yZo91tqgssCJ/2f2Otue7OQVh8NDErtYlRFvzgI0oSZHwqN6CHUD44kVy1gbgjoo5KXqIQ6BbyeN
3LvUxKeqiO7rJWe91DJXJBVPlFmTxynFFuj3i0uMxIJjdBuYDeIz6/TbSuDXX40KJXzeLIqa4ash
jLRS6HHFUxqoh6BaGBn89vKQ0b0BGh5Ud6g0oleDfBJi3Pjy4keYPOVM6tP219HguAoJfQkdsefn
qdDM4iCQcDW4gZcemjvhMPihJ3m8K9rqQfTHZ4NxjWVBUssx4GQ5nxJcDjQsvwGlwHaBamLCKjZv
T93nyKh1J+gDOnAjwMjT7BaZ6igB0+5m+7z8xKCWXNiiA7XSsOQqyVL3rYlGbdXiTuFP+QtqavNL
YPJmtJcSe8Hx7TGCIgucWoRoPe+z0QA47N0nswid+JYQdMI3qAlEnVm/tKVZoGAMd1W28fV2hgJP
9L8XDt24BDNTpZxjTO/gwiOq2wl+/IiNkKJNfXBgcOKFrrKbD38YoD9xqcwo5mTYlpEpb50Zqsbw
VUlMfjc4ssv79XPJ2H+bZUWwYP8dJnVnKNQkDyIFwyRMNv5bOaBZXbfxIuiUkskX/8GtiTmz1J6H
9AtfLSJGqL/FmRl/uEWB7PXVsN7rl9nl3cJJH5ipLpm3yyP2c6DUwVf1WjhEC1DJEVu4vy7N5JAt
71iJ2PYIRR5vkISxjTLjedBRVcRPidwdaifbNeDWnFqrhO6MbM7v/Ht0C2NEl2eeD5tJxAqV2i8h
wgzo2ziIoh25OuBKdit5RNCc1Y+9QdhApvmJRJPu+cngKo2MD60vYLBBiDo1szvdlsF/TMzHPDIL
ZuayGe5WmNS+GOUkjfIYmPBQMuvAsKT+9XrAYSFQW4Hr5aQoyPzJ5UOavw4lKxfavsiuxkCt/GWA
RF6RYwwNqhxajFssSqmQWRyP6AnDQZ5ZzPsk+egXy34FSS17HT2ZIGxjUGR/G/xtIdrScfFTq3L4
5BikR7wh2Rmk98enoPsPrlebmcQKnzp/eW4QorYDflyBYigV+XuuBa+VyL+Fi8Y4eJnzS528naaG
skDWJb8XLdWCsM6tWritO0HBMrWj2mw4M3u5vmq2I+hqhNQ53MTiMmUJQLl2H3goBSa2clKPEN0Y
j91bDT1NdvcZa1apAJNVEHZEazIuYYbZ4N0keo/h1oY94bWtQwLofGi/tz6rm5K1mKgIM3E6Z2QD
YAcIRbfeAPF5zmN7wm1fUj6nlD57CxTBjZwDDkRlRRMEebx15ejVDK3phl2M+HhivtwjsiRLsLLF
/Zn6guKUwQ6GhJYW9P/2fvLJ0cu38C8PPkpo3ZP0F5FAJWJhotf7+l2/a24Mpjj0/xj35w+hPito
cJXeQm0Q8yvB0b2H9R60zR+IoDkoJayLy3a8+0SjvuYI2wJBIGU1JTrVmm6FQ8cqFlyHQDnt/CCc
uBYmAmRDkrJu8aodMjd0SFVS0S3+wx24G03GfiRh+n9/TTzJnmOmyz9fc7R+GbISOxEwqDzJSe+Y
SepmWiH+M4kgrlBozTCNBlk7cMLzm4fJxKvsvt8le2PH+l6b9woRArXolITMFM0cTEoxn+IZGUxT
Q8gudUd130kz45NtgejQ5IM6GejiF6/ZYqVpZVxlkymEuRXi2hfJdlzU9vWPtLUuCFeLaHuDB0lz
cXQNst4gY01mJxwRs+1SZb0tb41jhUCLh4vqDN+FMZ3Mqeu9aoGcMQrH8cwiNm+memscarWFySTH
+LO/XoIEG90nuily5tK72SHfkaYonH1DYgeLOTDziY3FJ/J4j4V0Axo8lY+jaVUsboy4kceS/9Vc
PjwQo850J7vB838owpPYQ20rYEEKBCR4FBh1OncpEg3CdTPpIerhLhHBNGMf30P8B+KA0Xe4Mrmw
ntJMrrNT0UnuWU2XW7HxDJ8sqdVYlV6Taohtk40W+zG5pqg2LoCCJZojZ4WQ+76+RDeOWPBmIZIK
qVT0stKyEpkGK81aF0YQ4+Ufig7aM3fSgu5HMjJfMTfWKqBA1AU/ElocCjW0UhESuJ2DBjEMht3w
2kkMNc2KRvGuECXfKPTXOIzeeiHYwZ7ta5ZmL22KlsWo9yIt2wl8ybIr2tieIrm4YEWhkVcXqaDW
o18gnXqMvU8CMwpgcDEHzH4jsmDoBYUeWvAioOAjwoXw/INOUc1D8Bsf9OOiexTwzqHxuCLhad0R
D3xgsRoJt9JD0CTwRQVkvTwEl84RFz4ypEFvyRLGteUYoKkJPU7Kffx1eRKPJQTZdFbH5OanlURd
hdQFxELom2AX1G0+LYDMMguvLSZf3qXsh7/N77VCoU7yJOmjWJuBMlrFrtl1X2LkDZWT7yTMpeqz
7aw3hwW2N5GTwq6kHwGEMkyFTG1whcddr0uU57QpbaWQ/qAEBOETVAeBBWIo3bYUhFpt5N2ALxba
PZKy2M9sPIjhuXuAauXYgye0OJCt/M4qw2zO6Ccw3b2E5+iQVycAVxEcbQMZLVqdErAeUzancYVC
Lcg5mo20HIAScfOXjM9cFd2MZheLjEN9QwVFXc8jvaGnodKFuevJAmmO3FH0yItGAoXCtDaxKqHz
ArJVY0GJcF/aoy/sWJq/m9F0NVLq9FD1KoViIEZaB1/SOjBniE/LOpQ52IydzbiygqLiCr+EEFKr
AUXsCiOr9XBSfFHtydJQColkk1Ur3zyZVouUZrDqbd2LNZ5vcFtB1i6Ykav/qLA8cVtBM6NtMJ+m
Nq5hZ1+TuuamYNnnS4URDjA+452ewMILLPVI96L6dXSl/WyLZis67Id/1sag7koqhGujecRgE+5N
5UQz6Bi9ENtRevX9qEtQJEH6WiOj+/UC3lrZA56oTN41VR/yKoz2le3xQKsCGksaznrqqJskAYIg
w4iFqemVWY3cY2y0D9dTia0SAdFvEsGmRvsbaFHnB48GZXc1IUsy2oEH6LZeboF7LsM6PvIbT0tM
5SsDkXyGi8N1hUgNix+1pQowLmyCwMv34WF862WTWKXAEcjNX+fj9FTasz8zearkL19DpnZ6CysR
DtaKv5ALNJpngkVqXIKDkXZMmuoHVfgaHrXdpb4O0pHE0OUOwj9WHoJBOvgcbwqH6UNYuT5WpmKh
1+og/WxuFAvSFuyCzHbQ+fzCJNKvslNZH6IgX/ArGrsQzf6WaDoveGVa4CM13bJrFtsnxyceFQKa
bOFgKAK8cNKstPuhw35YiBhsc2FzFYFsDEll0l1Pq1Py/RSXsI4ABxiCaij0Ri9VZPb3oB47ta3d
S3vB6e4lOGW5LKLG5nmxQqbCTFzlRcQR5myf1F8FrfRnHQ3aiwKTt1k7Xd8smyEAd14ZLGdIn30c
nqtv1wxcrraE6dwO0DZRBbMQWE6D20ENTX8w5gMPjKcP4GpJuFLjcVMjZwSu04vfPZNdwdvSTzky
KwskRdbTzta4RMj/QpgLPGf0RZ2vSXVuwcHUcWMjB2EO+jvqICS9btFNugNnyp6fWWnThiwWrtUr
TCoTlSddmRoFmLLX7fI9HDlRk4z8/I55H2SMjs7QhLyVtTL5uD68ERWXDPyh0Pw/0s50OW5j2dZP
hAjMw1+gBzYHiZIoStYfhCRLmOcZT38/0Ptss6txG4c6tsMOBxVMVFVWVVbmyrX8e5Ss4WBIf21d
86sx1KuhiW6SaLEW+RoG+4PyE6qQO/mo3kY3C24puIcIaDe9T/RdDV4RsGLmxt82a9lrhwwvF6gu
dJmmPVGbGGneuJeHlwUdQSwuFAkZD5jUNW77Y/Rp62pcDWxAodkK799FJVfYhINTUK2QuBuT1C2f
luRG9G0MgFMsLAV94W3VlVaX1EaLHhKwF8LIc4fVQ13v55TxVbnanPReqw/WMKYbnWare1GjFR1a
EggByfeem7Glrq3zFmaCYTaag1Qn/UMJMn8f07Z7P3URkrVF1LhFGTk7VR5bb3AyuJ38PnnOKqc9
dkWde47Z5Ifr59BaWU199WFizipOzdnxAz5sQaQWH6FWLjyzcoM98Q/xZEPnnwT6aGvTrk0773zk
YGCXMxGGOZ8PagnIV84hIR3o9lk+TNa8vz6yLQtCNGIknZQEBRZ0qWSftFbz0Ed5sHGOX1xXxFc2
/P+QpS4vbXpxzgfSyC/ukxArHoffXPePw+2wRxr9Y7rLHoYSMIsXfrSeISE8vm18S2BHJ5NJaoEj
Hv2Bc8OQkJV6PC6Gq9qT8srrfdu9buJiM5IhQV0AikW68jAkZhKg4+pttc9+84JLD+Vjc4QfHPXI
fdOCliy9rRq2GGCgjb34Ivx0GLMhlTwfkiwXYSMn9m+AhK7pO24SfO/zrXfpRfYUK0TdMpqfQNnN
ixzQ4NBsNlpJAKECfOvJqX3Sdvmn6HN5Y4Ueeqp65E5P/efgsHWWih65GGapIIpUZVILolbEHGtN
mjoY9pMvlv4+DZ/eulww0cJ2y3UPp+HSKHA+fxX6D+1EAxUB4biz6WW6aW+WthEDdYijc9qs8y6/
73UYDL3owqthmIvKAXeDYK+cOl2eTOzFp+yjcYccLe+LYVd+VDe9/eKSF20JvhHFRi8ZBrb0Y30y
bvob7agQ5/4vLF14oTAq4TERNpMcNyEcF0sI47Q3HR0Iy7Dke3ji+mP90L3fBr+9BGPX5lLYzr2W
o5TnML7xACVRcdRCF1KwHbxETntKD8mx2Y37NnhPl/JPdNtuWijvI3Rxt46Vi5vqZaLZ9hp8pjRf
iGk2aI8tusv/M/wFgupkp2bX3LcfE7Rpi/38NdZ3G4675khLo6y9yINBbyhEjeMk+SbKscviZu8q
IrhFLsl2q6f/hWL12vLCCg1LhU7tlabs801ShHI9Tug8uOaHJZGBWgVVbMnrb+WDDIo4e7/d1nhh
kq1IJwtkmDJnG4T45yZ1zU+g3/CX7m9nl6Z0fuyzjXt8+RVn7gPPpoUqtuyYKMLT+3duIioHvU5H
OXZjh05w7h15SxzjIqFADoGji60OFx/cG7oQwjRjn8h5EiZLZDY8c2buyk/L077bxfmORPbmM/si
NhEsGkIl12wcevNyLDqfSlLMtAnsuocFvdLvMVnzmtjONW0aFQ61bjbSnn5AAN/fbY4adV8e8vfh
4b9GSw95NG9jA6x4yOu5FTnlZmtQW6le5vZ5gHRH2ZUHhNRfjMoZ1Sb6ugDqXDe64jJnNoVzrkmU
OartgHPEQgi00Mt9btvFVgixZUXw/ckM6QcYGFl8Mo/po3NIbsebZTJn01VdOvC9rUeTmKl88RqK
k8ujRYGCW9jgcaOZVWgyrkV6sju23BTSMb7dClYuoNGiHWHLybFpz5mGHaQ03fl+yYPWN8V9SMLQ
ePyDpXo1JGHrRZAaykmFKYkTWA1vAq3eiCYvQ71ld/9rQtxrkg4lm6ljwnCJX0/Ly3bBDiq32r48
mh+vj0dUVV6oMM6sCZtMcfy+XQo6/+mDa7w4p+1/NzyQo7jxb2wSIyaQ18W2oyug1JZDefAigyfn
1lPkwl/IVcBvAH+Goy6htLCOg6nMxIrVhFRp9m5Rk+4O0WN73HpoLm53dkJjhviMshI0Mw4clecn
tJkYWaeblDX1zHxvOFXuGVrxYVbH56hH1QbepN31Sb44UwSDwriK3km7qh8nrwwzT2pvTB9qKXsD
/ibmzKgyLlke8KaE1Cb+cz6qGZW8KhzBm+uFbL/H2k/+4I9ggKE19jdf0ctvu5zDf60JbpNVpSPp
Tg7RhT2Aws7NyPg6oYwd7ZTImj/XQd8d2ppemdEGOm2UxUGPNfmN2XtxyEIkOpSQqWaGlLuj331G
rMMDEv/r+tJdHJrLrEJLblGmdizAD+ez2hqSblZRXbia3nNEatqX0thSynlJVl1M5isjgn/MYZ76
1tBMKLaPO8SuDt33BSK6ZLUKaFPd7Kv6PvyoedWh+BQdxnh/fYyr7mkDIEGlgBGKZdZGCoknLMzb
w+xa8ZOWN+7c/4GRhcCCVxFlFjSkzifSsYLCkON68hQldK0kd63+G00MG5fc5XKRYEXiTddBmy1s
5+dW0igZi0pffvtgwDLo31vxFubncrasheAH1BInCMwOwmWt1YGkRoFNah9ZkZrXfhpDWh2ZG2fG
5TMLpSbI1Lk8KbQTrwp2Brs12yFPc5cbR/YgCfNi2z5ag7lD6/lUmO0POLQ+KSGc46ERb8zjyiBB
Fen0BXAakwQUjStTUg6oJXqVchsDnTKrwJvip+t+t7j1udsjtg4EhOI0T2Rknc8Xy/adaSLvOHuT
pD7Xw9dmqPd5Vx5q7X2CUHqNDtF1gyujgqmLLI0N9mzZzecGrSFHcB3pIXhnsl9+b0Z7I0ZbhwWQ
3voIQEKO+dM0nv9kT18illdFhYpOg2RUHcKEKbT3Q6foP7pkcrbYIi4HZMPTtKjkIbdl2iImMLDI
0HYBsvVTX+788uPQ/MXYN3zh8mLByJJ4RgTWWBBR57NWjXLDbbMcQ1kce5Mt0yVozOOjkdfoUQy6
v1UuubyfbVBX8BvwwiXlLop5REMe+ZOOsF2XGEDoCnjGq/x3aw6fUurP7iD7W6yXa0PUIe1aMC0O
STYhqktHC67qKsrQ3FK9eY7dIieh0d7qW/XRDUMvm/6VX8g0oailhiFJ6o5Wkz6rNhyXja/c5Un0
463ebpMqBGK5cPxBviqsm+/0dagUMUTfeXHww9t0DnaxvaW/dHniLlaWmAOpYFCpwtRV8Sx1UM1n
rilFwU3v6H8HfhzfXB/KmhFL51ynUs+zWryFe0aXKRJAt9Qugh9N24TukCX1l+tW1nbTayvCNewj
soBIGVYGPb2z50L+1oxj/25S9C2hwTVLFFS4DKF1XeiVzrdUNmqdE5fGQGTW3ReSdLLS8UOfvlX5
g0QH1SJbIw3J3xdpTu51v5h7zATSY2DfV+OXtN8IwS5GsmSkWX5OHxUROVuYsxzhhsx31MydatiK
5eARWSxXKYYPb1wawYwwYUrld2YqYyaxp33h/w4MMGCVtf8/WREbD2x/iKNBxcocoXzlR7dRSCpq
Tn6+2QxpZ4WLlYozWZxlTl8dAnbOyZdEdeZyQTw2fXGa1JGL/K3MZAAOMUMgRG4Bjk8xgCiG1sKl
aYOu8/STaZrvJGlbEmIJqM7u8BcjNpx3FAlU4oXzsZhWlEdjUGUu4Z3qQQlCeiG1PjR+q921WrBr
8vjA26f3Cks6ZXFuHGwaVm9ammOPb59Vhawe6omk3igonH/JXDVyb/c0h3Iv3UcdpfXI/5pq8sZR
tOLwoHWZUeT/uA7F/NBoqKEU0VHlyWX4cZY86GefhnRjV13cgMwqv5oX6ksMoS3XyCsP4XVcB7rt
o4KuNXtVk45FRzogLk/yXJ2SdgMqsDYkerBh0kV2fXnsnFtD7iVK5VDC2iz/GmK597S+Kb1EK7b4
+C6uP8ZFMGkhC0F0xPF3bqmN5AipSTIMcVuEn7UwDRGRb5PqYCe2RcIdII9xuO4Wa1MJtIM0MyhS
cs3Lz19NpWY7g1QXyejJerHXW3/fodolGV/VsL8p5GjDCS+TN8sI0SGEBpTQj/fOuTno3qhnTRCp
q048v+9qvXqe0tw69Fmu7dqsl+8SYD2PUVNNDxT8ioepehghvdZ8eSuRdHFpnn+KGGuoyhD1UABn
qDuStmz/SrTH61O7bsCC8JR9T7+Z4KVWrdajoiCbNRSaXh18DXoVj3dy+1b12uUk4+r/ryFhDQ01
kpK6c7j+DT8LPVj4879sZDEUN6AnwXEh4+8jbyaO3wJwrw4R0B4KIwDGwaqfL6fcol8yyT6PkWK8
q4aY1E27caCsmyDbtaTzCdaEGzRMBxCdc4B0fNAfcJibck6+X1+o1T0AtxAhvA1aW8zDZr1hTXE+
jp6e/yIdk30LpgMbEFHpt0LGXlaKAsjSMQGSQ2TmVic5b5SAg8sZid8rFIBdvbJqr6Ih514d6vlW
akAxZH4HaVmh1R7tFfVNbgw8ymQjC7ws1gzPH3STu6T399T5g4M2tM7++oysHnnoGkNuy21xwY9e
gsYqtDmD7yu7k/wYNbjfffZ83cZlmQa3JbwDrwNXK/qMQgCOal899A5GRsXtfs+UacYb9aQ1bvdV
PbQI02w1ray5EjIBkG1TtDeA7Zx7qxMNcznbOQbNiX4jeBO03fUxLc4oXvevLQjOqoRFRq054wCv
pupXlVb1oZfHem9OPSwJZMruyF7/sqcw2rij1lwYgUCTvwkzaE85H1o7oM2tSHnuIgz4qYU51AVV
As1fnfv7aqh/GlXnf7o+1tWz/LVNYfMbRdDZdleOXngqT0sbauvWe+cIrR8NR1sl/LWr8bUxwVk6
em5qTS6gXKjr6eD4UnwAhdG4Bjmgd7Y6ap+vj25tB4CBonsMdCBadoKvVFkT6qZawutcqGyxaCj3
VauHOzNN440reM0tOT1J8rB4lEaXT3l1BZtRG09ZoQ9ep2mnUW/vzUj9g0OUYjVoLjI7S4RxbmKY
MA/RO2/dqiOFas692yfSW7Hpy+n22org/UnhyHPr854yH/KT/KzAWrZUZoKn4qXVL9rkvrusziwW
US7m7ltyIuLDlyRWUiqdyQvuu/I1jtxxlz5SgD10+0WhiU67nb+zPIU+h5+m5kWILOp34T7aRDiv
eQv3Hxx8cILrsN2fz++klkPcauSAmiDTbqq5/lVqeU/D1BbX7Jqv8JgkoPhHC0EwxDs2NYHZkU6I
GxgtizyizW8r4F03QiYaDjhOSnP5+SuHtKK+6gMTCbR5jPPH2RycQ1b6iXd9h61aQewD1V8V0JaY
nCuCYU5fXgpj5HMFeFFrb1hYXRV7CTPJMvLsEby+jnM2djtm1I3np1G3DtEASMX/+/o4Vq04YDR4
VJGGFuFtvjYMpibp5KzqwXIrKTB+m20YPpDC2Krkrp3ybGJlac+jAmgIhyDlaTspJhn4LE/kv8NA
RaAiMJPoZzW0SfbeD3UjeZfysEv218e4sla8YGn/JyYgHhCvaqfOxq5yrByNVCvaFZb+m7a2X9dt
rMwjirOwWCI9Sy7GElfL7H2/0svJS6N7kqbuaP0VkZ27bmTlgj4zIhxRGUCbwq/r3FVrHuVJNBzM
PvneRwYwpab32F7fBjXY0g5dWTfejYBe0NQ1eEoK60bgWXSZRUW1NWvLsyo1P/h+ad+mSEd8DIpK
2hchzI7Xh7qyZtDg/ussy89f7eK6qmcnTKfMtcuf5vAQNFudVitXskYMC2DfImuuieXoVC7MQpqC
3I3mlAbusimiEwGB/AHQIiRC05Tu3jyiM4PC43FEqdevqhCDPXp7kz/uemWLsGRl1sBaOWTsARAt
2O7zWSuREO27jApZlKT5B7nrjHelo72VlJybcnnNMG8Q/cMBLfh6XldqREsM+0lNH2hUhxxZG7Yo
0C5xH1gh1qUFlbe9QkHnfCxGJkeIvuPspjUGnqJlxyJSXH9KbupW+WX7tdcjuOTaU+O7Vat+mnVr
4wm85iImvLS4Paj8C4EBRWn7MG5Rx8jV9iGWP1oKLQHysPP/IMChzIOQDnT52tJNdj7UOfNB5vl4
RakoHglyJOG26DpWzidtKVtxDGoLGnf5+av9JPW9b5SqjYk++9H1fe0CKv0sV+Obi4ssG+9Qur45
jfBEwdDQxw0IGpZt1sPG9ePiCDlXh5iTvvFoWPN1Mqz4ACEUyHDBP4ZxCAKjzdCCbgrpOOZF7pVK
/OYKCMNZ9K5V3iY8esUUqK/0VYW+3eSZveXJ/Zds/nL9WFhZGKor6HgRSTjkcYX58tM+rrMYDEI4
KV7bWIdFl1kO7eN1M4sLCW87nEtdiB9tklfiHVgVU6YUpk5Ruy5SlIrDd4bzLioW1BtS98daMbZS
H5cIV7Rl9KVysORskcwRDjxnNKWmzPscmPTkTft8133mibeEtIvqaHm7COicro9y7VXOVU8nFvYs
TkJhNlOHZ6qvNtyQptyBoEQKqJa0g5Kfuvkxbiw3yslcjEe0okJLVneFP98qQ+G8/fbiPQRBPsBe
8rmacHtBb6SMfgQmqFCCWzC375xgi4d/ZUFBupKC4CG3ZKqXn7/a0HIdyVkQRLR8pcMht8ddiUSU
Mzf7zCmP6vB8fWJXIg82NZVizJFJ1oXIo1FJk2WJOXkGR68tu+P4Mw/uRmbQ6n+YwwbaaXVsr6wJ
nhOR3cxaQwYyYzTop+rxfSSlJ7Wt7oaeNqV0i6l07SX2koUkuOHRwJFyPpmgBipFklR2+UP4lP5N
TfrGOhS31Qsp/rG4bSHRHfc6VG5kux6zQ/thuy1yzXfPPkJwGqV25GC0owKGs/jv/GR/J0kwHvWd
fKjHXQWDRS7dXF/VtTsWky8RK7VkSonn41aKPAxmA5P6UfrZHRdKKv+mOrUfpM3X7so5d2ZK8CDo
EHpDHWZwSOO3ID3iaa5vb+VZNgckeE6pDUnZLANaxBv8Zyh7dvKpOA1P043+cWPyVke0dGAS1pFB
flnPVzswS+UJIjMAasW0NGLD95d/KfcDgGnzvXpY9DS3E0nrTvLKqOAkTa37jZLhqeOhela96aG/
M/b0mn/UD9ku2m1VAS67eMifEkwSNNBKs5B1nHtIUQYDSUFOssEr7wdwUTcavYKF55AaKZ/tn/Pz
eJxuthA2q1P7yqqQKJgyJ6wUOSgIzk8FuriOeVeMWyrGLxAk4U48G9uF99dEk0T6yFP3u7zemaVn
f5A+6beL0rh/IuFU/hg/5s/OEYrBg7Xr7iskS7m7VJf/3bi6VsIZOr8IzxQuZx0w3flEp20/VrEW
zN5YJpRZu+kwlflWjmsloqU6B8EneQsSaWKiNTUU3556iMUW/oXOdItb/xQhLyLRxj97mqfts/fd
jy2k+OVqUrpFFJW4cykPihmZLonydlIpDNL2eqpkekIcs7xvHHMLvXc5hxgimQFUFlkf2LPO53A2
lX6idUL22vyvzn+Wxo1Sy+pAXv1+9fz3q3bc1VNgkKfWYKtIAG+P5Re92VilLSvCZaQbRdRPjs4j
Lmofu2S+1exPzpI1u35+XfrC+WQJJ0neD6PhBDJta9XXTp7dsSMfPZe7zPpw3dDKeFQQKjgeIpCc
JIIhpR2WnIFDaqSW74zuXT5+C/2tSvBysJ/v5YV8g9citXv+e4FjC4JZl6N49uJTCwVwf4O8/O02
unzFw4jo6OYncbAw6Ake1vgmba5Wm7uOQdOYoT3Hk73Rw7xmAhgUWEbuY+gEhCssotztjGD/3Ciz
bkq1uvfjLSzUytLznvmviQtFnrl3GnNkFFI/PrSjcp9kn6Yyeza7caNmuLb2vGsRGAPuyrNDGEwV
aIh+5YT9tGXvrTSFMaT4UHOMXnexy/D0RYf2f8yI+OMoiENjziYQrXN8lPTPtRIf0unvKgwe0rD1
ynSLLfUyQlVQ0kJmjuw9LGriiz2KdZtSTjZ7YZVFnhQqz45vfggrnaxfmx9p5d9fH+GKf58ZFMIn
FE4N226d2dON9qdMg35AXaCKf/YNbVtj6rXGdKOqn68b3RqlsHpqY+i9H6SwtiUN8rPfzO4pAiU6
VPEukZWNEa44JYHUIkYLGdjlc7Gm6BxAGzl7rSY/yZL5YPXjHhzAD93wt+LeNVvAN2ikIL20lFPP
D/KQvBYHFVqL+jHmEfjd+UprzE7aI7rYeerP8lnexfvtbvwts8vPX0WMKkTl1MqrmS6w6U5uIX8H
FdgM+dGYtxrCVk1RASSxsGghijk6TV+gWy366kmse62MZC06CUlduk7cbmy+NS8BQoyk0YLQggXp
fFTN0MjFPJWzZ8oSUJfO0y262KuDbNxlcbi77pIrpyNlTU5FZHJJCooMsFaXjUGqYkyWwvQwJMm0
m8ut5twXfTDhNgEqTBCGexBGiFCmQk9jaXQqmZ4NMjPjLvTgKl64tDVo0f1jfwKngrtUu2Hn3Cp3
9INq98Ftejd8LZ7mb6UnnYKW/sU/CKT4LDJ4JF6p01nL5Lzyn97X0jZKEdJ06tL+qZRj5wJGz7+0
wWC/fZ4BNtBWA2Uy8aKY95KGLgzyUZu9lEbXjLyXebq+kCsOSlqXwhY9KQRrYvEzsfsFZkWnRT4e
8vovMnluIb0Pxp/Xzaz4y5kZ4dysKCrLkQb8LQ6Tb5qZfnfkVN3YAKs2SBGiWY9vUicRlqUBihUa
3Nh5oH5KcmMf99K368NYgSvAL0TrF1LHJJUu8rfJPLT1UJLZL1Vmqi/1mQQW908XFIlH6PU33dbB
+04BkCK1SeLVepDtq9j6auSxseEbq0tHlo1uC1QDSfKdj9esSs3qHaBhlpS6dhLcJ8MdXKA3efb2
ZPIy6n8tCef0mEWOOUtY6lTjENrabuitv4e23xjQ8muE7U5xkMfJcl4u3BHnA6r7xFTihiglR8Di
pOXxfCBZETxmXRa8GfzJiIgbIcJZ6GDFw7IvTRrUQ0Y0dqFhuk3RWUdiVzR/R1U5NnakuXbT9r+u
u8/aADnMwNgt/VnI/p4PUCrVpg6hZXEDWS69KaNx3TLbD7DgbBLdLKe9OJcvwKiFdo+QXLjjfDue
xjZjLtOq7CMg3UH6SVK0QSbtmtsf/ahpKHMkpltqQfM8VWWFzMxo0fohT/5kbGzNlcBwyZGqAHpf
vkbYmm3fW3VYALxZFIT2TugjLpYlulvEurYzB3m+CTK5fCCfHG6lF1ZNL3Q1YBuXDStci10dtcMo
U2CEvHUmr2Y0JhgSvw++KP40flNDJ//tlCFqg2UbbTGlr9zJpIT5yyCdSelC2KKZqSWBalJs1CrD
PCS5VvEFphbumy5CmyIbe4UfqepGuP+SpbhYfZsHOAjgpUVKyGL0QaxGDXBEl1BVfQ5iJ7oprS66
S4sW8oKJb/FbbkvDTIKbec7m+1bWpI0ttubs+DjhgbHoMot1h5YV79TlqNSMn0mRupbdePzpDc9a
OwQNri9KatBAXGwpvenlwugc2XP0bJcUqqsq5dEGbTjpG2f/hYbBMpilZgfIkw5p0jbnuzd3yiKK
8+UOS2JvjHttB/vEtzgv36t9WrvIq5tuoM6+p5QNPJdO9xz31o8u00ooPAfVU4fh0WkjZdc3Nfi2
xkn5V6Xtg8a03K5VdS+aocuR87Tf13Ay7IsWHcPA2ViX1RmzgBg5C4gByPb5MAqwbko14ZO+L0c/
VAjsPoNCJ+eukoTIlMHcXz/0Fh8XfREkukUYQdrposeSMpiP0gR+ACFZ4YFvGPZA+9ONOEawQv2R
6AipFbwd9iZN9PhyzvOkMIHp6OHYu6rm3w5msIWGEPPaL1YoJC2s3WjMcqKcz11eamieS4QYvjb1
P1WT94Ikp+iPpJVyn0lW71bNGO6c1AHGpWnt7EayQo1Xm62nN83q8iUEbLCfkMeD/EEWTha/zSQA
ExxrsVP/6Hv7tgyljVNEcJR/TJAnegE1s26Cv7ftZERhBWi6CtvHgJYtI43vJWr9WrrVvL9qivY2
WtzAgNNecj6v0MMr8qQwmios/pJi51ur5MFt36Qc1ZAH7K7PnXAy/TMwG/wu2GSqsSLYqsikpeEz
BQ0OvXat3afKPpZH7+1Glp5bWh6dRaJbcJUkijW9rriApwklqkn/2qT5uzosN2p0K34P7/m/ZpaZ
ffUWiSqnIt3KzGlo1D+bfaZ5Zals8rovyc5Xm/hlyl6bES5wrZZzf5aJaudMvtMa6YvVRncwzT2W
urnXcv2nPKqHeUay3pkPxKW3RlXd2N0bWe4uPkN4RsCuZ+qdQqOJ4TTuUNIvXW3t8a0JFWI0eci7
RGtxjlCHEyv/GJtP1x1DvJz/GYTKbNLiJON/wr4q9YzunKQavcmqMxpTY9DPajvW950Sq+/HqnzK
qnQ+0e9p30axL7m9X22x4axtAc4xHZET7kxDrCfNVdC0vsY3kIPctdZt3X3Xgi3Qxgv248JrXlkR
5rKIp0lXwm700nsNphXloMBo5J/0feVJMFLtDARj0nf+p0VhItynx6D9XxDkiLWzf+ZbIym95BIs
Bny+RQa1DpxqoDOj2ltIIS+iVdEDfYfH8LviQSG17+7qY7MBixFhF4JVWiDOrSZZkI2yObDKt9Pv
CS6ndAcTvO4aH6QP1dNLkXALS/f/me//GSntnOc2raYwKnQNR+pK/a5q3JpsyU1CRTR9L+3198VT
Qzn0iLxidSp2FH4/gtMpIRn9g/OVvrr/TDjl5vPPSHJ66YOICZ/ryLgv0n48SqXjfFR06Y39Vxez
LBRp1MiedWfCw1B+2KXJU0475PXtur5TwBYv4Bk+XLBQDLLGS6pmMKm8t7IPptTvkuxPTnFAZ/9j
ZDmUXp3ipZMDjOXF5sk9/NrTVxWKmf/bMITrKCvTISoMLEhFvJcH+RMlOrdosh9/YGZheTZBsROY
CGb6xA+irOVcCRRofGtN95w+adywmzaCk9VleWVIuPcSdTRaFVy2Z2r9Ta47IS2p3ZekGzbKQOt2
TM5KgDcQGQnLb5qKM0s+doZA+VA2pteN/l9RI3l/Mm//mhEcIJPiQY4SvCxq71u79cI28sJxE8wp
vEf/2S4cg3TAIQp1EfvPetGWxczO7Ay4qJR6p3vL8fAz03fT4+j1v4f7Ac5F5y8IEf9ggDwDqUBr
ZDTFns1xGh0r1ZnHNBp2xgxFZx24mb7xCngh3L64cf41I5bvba0vMMAJmN6PDK45Kj9g+KUn/666
V+CRHB/Qk31MA+jl3pgV/mdul2TckqvmH8Eja7WJHUklxxH0SkeN3XoXpNTA+zTYeIiuuuQrQ0Is
lsqQL87l0vLmf1OCzu3kZhdu5vzWQnIVCMRSz13YmYRQK/ajQKqX4fhlcMhC/VRZmqf63CC9crju
G2JWdZk6ipMq4GLCIh3tq/PjL0ZnuetU3HLRKQruqttob330b7goD+qXTXGPlflbCBt4OVEJpVgi
bGnIE1IpHejKCkncdDQRL+0IVZz1H5WRLpCN+0NkWHwZHEAIWhMJtYj5hPCjLvI6rOVm9NqvU+r2
T0tH0wLboRgUneQD7ZgAlLbk7ldWDzqC/xoV9wFypEXdBxz3UNQH8E1l7/Q4urWVyLPScAMosRbQ
YmyJrAiwTLKp58sHisBOR8niVJkctLt2ahBM32p/dJQdSzDOkdtVyjicOqNTi12pzD1KZvD1T4cw
kJAM3fCmZUKFM8BGy4umUw5nGI8Eb/ID1fKdmYyGcwNTb3MAK3WXHI0H/anf5x9tt5VREOx2MBd+
6FrX+Pu6+S3r6vlkWFYu16VOB0qMiFpzjI7DIbyRb96o3vDiVRykCh0hxPC45bkZRZMGVKwlLlrn
U4JfKemD1lluj9TQ9fGs7ZbXhgT3Tc1w9rMimzwe7/ukpxp77PING8vtdrFi/w5G9FYaey2AZqwY
HailpynFs9O3G10EL+IBF0Yok7xgvMkDC8fmBOcoqW0Wpj/Ej80X7TR4/gc6/LzkQ1S5kO5L+9Yt
TvFNBJ3sze9FifT6TK7tSYjG/vsBwpLZhVY5ehXRvh+1v41Yu7U6oNil/5AHW1ty+VXiWGFfJOEO
RTuVQ8EJnWYI5EzmQA3yx9jXXI3uRjOIgP7AylsVnpZsITG2LAqHamZOQ10bSzwG4NsMf0l6cmNA
dWenyHo532NzvLk+myuhDIfOv0MUIqayCTo5jIn8k9HeyTzn1MbVpxi5yxy+xLfH52fGhBOuSfRe
6qp59Jw63ld19inzq42AdvOeENxDHxuncFLWDMLh4nv9OD0gNtkgBZG+K+90N3tCsz2n43xj763t
bwQoIBYiwCVLL8zjEPjIBGaYLVgtKXg3q4VbyJ+uL9baBn9tRJi/MMicApok8jYoMcU2TQ8bC7T2
3CYn/+8wls336gU1d5DBZbi8FzxL743D9FB8bu/Su/HWOWrPEKr+lXy5PqTVeaOiRGGegjDMu+cG
0cmE8WBi3sKs8fLuV939kLcAYqvTRs3BoXV8gaQKN1kzdV1Qp9ziRacdjPCpn9/YQ/ZPcPLKgnBQ
FCWHxyjb5EbkYt/Fx05Xdtfnae3UI1cObJnaMx26whgyU7JndQn8MwO6GwCORf/U2sPOVrdgp2sr
AjEReEBuRZpPhLFY0xireaeRC5iiGylxboMquTP96un6gNaKAHR86DrFKirvF8qMcWIkTpLQJlZ1
zbxvzYZYrpDiO3JdvVfShO/lavGsI8vuhU0Tf8jb8bcztdHGxK45B4k79FXI4NH4v/z8lcerZNf6
SkohvIW4u1WpSv3JhBL6L4csrwBFdD+r6Z0ulmlWk/R7pSHhap6ifgtb8HLvincVrybgiYvC3wVE
qu4ava0pV3MvD4iD09UquS3S58Hn8a7cgzDa0XcYovr81xsrUy/OTwUFQl9yFSpPj/MZlPS0iVrK
0u7kDNrdUCW2FzWG+td1f1lbp9dWBLdEboY6nAp0v+7SfRgjXr2Fm1i1QBVgab9b+q2EcRS6Ntf2
0oI3+yR1pLx46nxwsdeHsZZGXTgSIMNnL8M7I5zhQRbJTWTCYNvscwQw1O90dRx+hilQ/OG+QGnc
f7eg869bFZsD/lkjeGABCJG/vagio6k5Fk1J1Ebjw0495ifrU31vex19JaGn3Y2npTkouc9O2X11
kr7N+wwibXWHPtT++pesTjJICg5iClS22NIGvw+d+Q4diPWceJP8q6s2Apo1A1TZ6LOFsY4tJ9xg
tlHkuVMQBHdk+42i8Br5D6761xaECDgss8gvEnZa3jpuK1k3jaQ+5npxuD5TYnPMy5q9tiNEMlI+
+OVohzR0HArkGW67IyJLJ+MhTl3nuGgAb5WnXvQexDOEnBLOb/EQBehxvpNRrbP1sKSryXBSdzKe
aLPcR807mLm8mOyIbNEOlFLA7NuTFu2X1kvI0XZlGd0a7R2IgRtoHvZN371rQm1n9yqdzFTw/V92
3niN8lwa011hKm7WPRXS8xhqT2b/OzXyXag/KqCoJ6Ls9uMcAgvwn+f25/X5XHeMfwcnhNZOYfiy
JCcwtg+8WI34W9lNG5iAVRPkA2lCpz3kIiViF1IAgRl7Owklrxy/UYbd8L1lzS9WCCpOqB+oJwMH
OV8hPh1Ahd1iQQvanWn0Byjpfkt1eedP2vtSU3829RuJqv/xw1c2hR2FXLMzFQuveO/Atg3+3aSh
560UcBdWhF1VxjaMaR0jgwV0F6CXLjUbDrAW2NhMm0nzF4BbkdQiBU5iBnM3eRFI09L8OxmeiEl3
b/ey10aETZuBSbGDZYFSMElSF4MG27gI11zgtQUhk+Ckw9hb7TIMXYd9AYKn2nCbsHXN6dNoOwfN
3Hjyr3n1K4O2EKLLqdJVbYHB1ocfelYfB2ezzLdsPtGvX9sQ7l5aapxOmVh1nap4vOd9r35wxiY6
6pR0bktKvd/h1nHuHK2m0mmlqL2TDSWnSSCUfp/TInxq0sbc4hlYHbqGdDhtOEDqRNTbkCgk4QI2
NIg6N7AfDelPshl8IzUxnicUkoUNXWv/j7QrW3LjVpZf1BG9L6+9khzOvniklw5JlrrR+759/U3M
8ZFIEIe4ksNh+0ERKgJdKBSqsjL7MS5UbO5EtZuSb0YGwYo4yr/+gVuemGHOcJ80VrvJcMtmdlDd
eo9B1n7dAve6Ol0Jc4BJCxLHvAWtIhXyBXdzmbupP+DhrXnrM1iQV2HxjnugTxbFnLWpWtatXrCo
Ntsr21GHPGlii25hkRHmuG1SU25zAiOzNwe5g0ZP9jztCrfcK4+rn+222zSQRV7BPeO/Vsay+yJ5
cpRkhdE0/bJuEpoHX4y1BgOh6SrZjTa/XP92vDVi7gePE8w0GnhEnN8qUw1ayYqecKW+zfSvtrmb
O0HU4p2kExMXSjEW6c2PkzTkr7qETlkh8j/uIlCQpLoQ4M9gkQIOkAKToeOsdph/zZp7slN2EKjE
XC+GtbQVsvEULSDKrEVWmcClN92mJCa+1GC/jvPkKsvrkAkCMD2cbHBE3vJzZer557GXqpOKGCsD
6bvTeB3kvy3n+Pi7PgCmQrSaUVqgc4cG/YAn72C0/6XYphFCmx3IQ4KUWBnR3LGUQXSiLmM9tQTY
mENp2CHBe25JSecl32w69L0pdpQSVDqTekV3ewOvmdEm7T4jaxx2/dTvltmSvWVUq2cjJ849Ev71
Hs2hIrq+eJYyAdkHSIwBSf0g+8VMCvObCER6FZBsYgLuOAZx5wJbPD1QOSM07DB1T7zsbUVKghPi
VQHlVEwjx9++jzuRqNflt/54v2NMwMIUEoQ7zjdnsFMnAfADk0594ZIlfai0/iArlbcqT9fXfOm5
sIQZtQ+yYfq/c0tmE2/mlGEmBte6FLVJQz4BaIPpOB3ARMHh5NqiatIaMlf0IZgAs7ZZX3YdpuHq
ZnAHfGtVmz19WwVmODUlrMnCyDlgExiHs5k7KNm0YTIsOlIE3KLm65Osl9HqOOt0MCGGZbhNl1hf
u1KOx7Bd5woy043cDI+G1a5OgnGvxBBh9rlLR29JB3IXEZZVcKqqIu+HrMfrPoUEcr7egE1w3yet
ACjF9ZsTM8xd6Ew41lMBv8ms1W0kySusBlIomW+W79f95jKSY4+pGgDwB/iH7ftqkqyk6YKxP2fK
PhO5fqkyIf6ARrTziAeJULDP0cES4MVZPkIZ7KngfcpldP/K1jPCPrL9LVK/VXeG10SiLi/nE51a
Y2vQXT9baOtiulCVxj3EXfJ8Cg1d1CHg1NbPFqUzR9vsSJ03BRDjSz0pkz9ZagblSOB6an8iS3c7
5F0b2eNkLK5dTfpTrOug44gXQ6mBMUmW53jdNDqWZbYFUOdN+/vZLn6gjfCJGwAYAp2JCCCgJ6XT
YohNMrLbhfQ31SZqMNADyH5YcLNggJ5C2DEpdx50NGeax8lsZE+Znom5ht38FndpaOkvMppO1x2V
81nB2QUBJ9TMMcvGUmphrpL2xTG9QSrrdYmVXW0Un1ZjFUCbOOfhzAxzcZarPUk1pG49u+78emvc
sp286yu5TAfxqsd8FeincOAA1zrftTTpqxYM/7JXE0N3rdnsXbmXoe+eEJSESvKYdVoJUvFGlFSx
wxr0XsTRAMAb3oD4xXJQqK0NSngA9L36x3As9mChMdz41gzGoLxD4RBlZnuf/pDRm6+7fYciZlCH
jo8CcChKiTlf8+yX0JBxkp/0STb1yWpsXlNnnqPuuw0jliIaKpERxj37DmxRE+gjvEJWICJ1uwwj
eJsFDsNpoZ9vKuMxmb0pltQWdB4XOJ0vORrKn6wbhOrMJTCHmOAub3WYBrOrueph+S5GWXGcFsM3
kJWn+maQIGOOulxZ0pp3eARiTr0O2rVL9npbiuB4Iiv00jr5ZpjyT83JxqBev4LWM0wrkMGEsZ0O
r9fPBz+0IqQAuf4xdM/cfvK0xJbS0fneDHjc9UuG2Egq9dBgYnvOaq9Iu2hAXWFToJHc/ZCk1I1B
9GiIdIw41X182pMfwiY6qln3WYbzYriTv/m9h+ZzYEuutAGzrHjN3RARf8oC4+X6DnAd95dd9gpT
2nYBjgkupTtjIA9495AOdIWiZEa00ewd1qepnm4l1ocqBcTQ3lAPDJJbUBvNtdu5dpgF2W0pSG04
eOzze4k5+nWj9FW8WMg4nu0o26Ou3PytuCTIX+VnzP8tOyuAuLBfBVPrqmEBTul+17yKXnqcDOvs
dmRiA8TLMHQj63S4q/K1AbxYVgVygNQbpx/XPyb32Jzcw/TPT46NZqZJvqzUkiSvd6CwW4OsSUSz
rRyXARrXxPG3MYuFEH9uZSliGVyBJqJQ1xF/Hsfn2Em/JL2IDlR0eTF2ymntlgyTZp5B1qAwMSOQ
l4Ob9q2nqVmOYqzkjbYtOA+cj4UbEy02KrIDblfGZYpZnroqw+KM+a+uMLx5gTkQGZuZaDaVa+mD
7xIksqieMB8LCj59vMRYHsGcnKNiJCN/aXQpIiBrvO4WH3PNTPIEzkJKDwpMBEYhGA+0mhIy4ClM
zYfyDhAkMKw3bh9hFDXKgcRLDqZfvOEuBiPV9+FVRJ7GSd3OrDMLrXvLBhkqkpBVfpxbBVLMn5sm
dztTd8f6/fpSeb4JyUoqTU7LOWwTL7Ud0H3QlS7mrs1up/Ehj79dN0EjMbuZ+GwY2gECAXUIJhu3
5ayyp4Zm49oIVYiiSEnu4kVct0i5k+0HWRTlMLamXXgmqTERWchFlnrXfwTvbJz+CMZNoQrbEbNB
mSVe4yoYKbrBGVNzn0h6522zrYbtNuWvkyQ7z9ct89z21DLjS5uRWXEbY+AXaItbRx7vtKX9ogza
J9JWIkgW9YyLrT6JNMylONdZhnq+DQK6vHvV20p9MJX1qzba75D87fxm0F4hNHiT607kNFrrYzC4
2xXaQjwgXTGSl6qCbecu/tcPYm9Lw5JSp+3wg2LgSzHOlDZBPY67apoEeCqeIYRXDZBsMEyD2vQ8
xjpKM2KKb8ZUsAYOHvspaW5LRfN7+en61+TtMB7LYCABhsWCBua5nQXI6Iro6KpDL8BN68+62gV/
YAEFYtp4xCQmC5OhJzW1G1T3LXvzV3I3rKJZOt5eYcr/pwVmr6xmdaR5hQVF+mxZOwmAGct+n2NB
FOWFFkzjosIpY7gASdH5VmF8olVrFd3MZG42BZoY4CsoX6cukevJH225Kz9d3znuujDjjKCNVxQg
VecG+xW6t2PbwQcGEkzDbbrJoGf8EZf763a4PnBih7lnpbUyEpmA/7Evt6+DU7zr3RZeNyFaCnOQ
bRBSJ72FGnHV71KlCqS0wUXeeZYsopfnf6Wfm8ZCmUu1Vaq0waZ1Q+tW04OtJq7SCJbDGZhAiRXy
ulAFNVD3ZvEOttR2c2uhsE4H/TDm4tXfMXruU3RF9ZpG1zePV5w8s8aE3Lou8Rar4OD0baC+QREM
w5P1Md0Vn3+TfpM+289MMU6O8V4HYC34QtrcttaDpQl8mutr0L3FKJeGAr7O3FuFZqNwXAAoMs7Q
Uuq9AW2J67vFdYATC8xmacoaWyuINj0iPbTG4ilr44+zYORCtAxmmzBOV5qjBCMg4oJD65HcWoLH
i8gEG9XGRiKlDhOy/pIhi9BFx557Jk82iv75yWOhsMytNFp8ikJC4Q5EbArcy7Lx5BbcZaz0+z9O
BRJHKJFh3J9tVZfp3Epkwmlp16A5gohN8UmQ+t96zKf4lCRY6rwBMLb6Qd0hP1x3ohcYB+NI3frX
L2DWuurxmkLjBT2q+/lH+gAdr+Jvyl1WgvB1wvPzvbvBmEjlD5FI7YW7y2Apw+INxUSX9HyX40Tq
x7yF5Ri4biWtHhHuEcWHYywCYfG3mR5QijmA8CoTZHVtTpu2RphI95YebGlAtzm/bW7U+/qbiR5U
oKuuviu80XWeM1TaRNvMddlfP4DlAGmHbcWrET/AjvXG71db8pxVBKL7H8sE2Bxyc8BasmhLsFgQ
C9RR6LhZVg+aKCleDwtRjMbXdDx/PRPik3OgJ4sOBUoylV6GoSjdnSelW91VW5PCi2tnuqsXaNeh
T15pz5gUhwsmeZ0UuzRphl1GzHS6TdJqrN0sQY1WkEtwvQK50H/XwHhFlUL4frFxImoz89QK2E2U
f5d0O5SlAFnGv6pQjDMxliiDkojJIqQ51iFlBSrwwceueIWP/kTuYQ45GiJJc0XVVv5RO7HHZBOZ
3mTGSDnk9Yg8ScCMHHu394p7sLJ41Y/iTqEFypsmygQL5cb9E7uM97ekqgZ9xkHrrcyDOiO2FsDU
WXAXc10c+EaKusGhZlsDdoO5XrUFmFjrt32p5Me+6sPrFxj3i5lQl5SR9VH9LmYl40ZaIDwQmOeD
HWk+OWCAyAjiexBYhfGdaF6Ofn/2jXVijQVp5apR67GDfdvmJZTW75bxSEuA04oKcrW7vjTeNwJr
D+YiVTAFQUXpPBiCtL11tFLDZKDTPhhEcovCum1MEZKXbtDFkhAdDAyzgvaMJdomVqr31UQ3cAbi
Ydz0Y59Ce8VujN06a6GU26/FoA2eXo4CwAXPPcD49dMyc2nrSZtqKjpFiHsOqBYXMHz9iQUDuDKM
BVBNT+Z4WRVUpwmxETl6FPfjUJJEQAJuuolHzk8TjP8ZzqCUm2Mh3bwHOmVf+dNX59WKqqD6LmIY
5e7XL1MmgxDs+95REwNfylpJhGb3rSQJyd5FNtgnrlIsZWrA6WZPeVdC47jtUj85bofVV/32mYQi
Xkiul58signuywY1IJnACQo9jyCBArJnvOGLZP8Hh8nQ0W4FKBV5O+NrqTomBekXvEcV3c8S21Ph
0uAlDq6b4caHEzNM6tQUKIItq4ynW57eQxstSAc01mvjkJhAcktC8Dr9HBeH98Qec1/Ntr2lGzq8
QAOOb01YRluUPGC6JkiEA6F8z/i1g8xZamtSTbkD79uMp2wk7pR9u753nJlCFQTmvywwR2kowWis
Nx+XobNr35aX4rnZ6a7tWoF93z9gLs63BU+T/2ETdHyYvwaUxWTcr58Vc802uN/soeta4PJFg3Df
BMmL4oElz1uhayu89nkJDfAzqCIgKFEczXlk10drg5IhvppjDDHmQKf9XK6HvLSReElfru8q97OB
QAMUAuCZRXXk3FbTSWtPOnikZe4149W0RILY3Ho5pej4xwJbRDBHcIdtNd5eejQdG38L882tfEob
0PtSlN3J/uRRgZM2/G2BmI/H0qltJlwV6wC1bwMVubF5K+YHu7xX1a/XN5DXjNNObTAuAlmFLZ07
rC+GoqBrHLuXAhqrpt9DtNpNb+Kb/8cgEQ3lF+f6ZE8ZD1nxEkVmDZtqpB9QPX4zvpEdHf9GHzDq
fe1gAJsSWtAYib9Wkehpwo3JJ9apT508dlsQQRV5hrytJfsF3WuSNF6PQfPrG/vxmrtYpAOUImBi
gF2yE22xjb5Y1mCRfZA+UAoU+S3db+Hmb3vQToQ2YM1ger6zXuN7Wfe6KBGiHbiHgxKKYRQH0gws
4qNXQQWB+h0+bZm4efYW9y/X18g96ScGmKC55v3atRkKbNswu47U+SpwYya6mRCq8a6b4l09QOQC
toJGDpjomaMwak4P/lQUo5S2e22r7cbcCJK2/hX0sbJblbEgdPKc5NQecyyMOgad1TTh2CuNb9Yv
6qq4TiWohvD279QIcw66ObMxwI7ohVE0t9sMf44LD0rVnmkKXkQ8V8BQFkiT0KpFfZ/5UhjqA0e6
oiAPSUDHbmt/KbUlSA5EJphQPMd2uykpvC3F0YoHw4UG63Uf4H+T/y4CDczzg+sU2ah2NtytbbVj
pfTfq5YEaqr8/qwSXiQ/Nwsc/ud2Wkmd1g1zZp68aMGU2gdZJoLvwQ27AOdiHIRO9Rps1dhqlcko
a3x6wy32Uu1qu+T7BNmhfr/uO68CPFHECsHdPcXB2x8cwLgtmWSqTkGHmtEhEaKpfqXdG9UPCxnj
H3yiEyOMn9WNsWVAmiPhaJ3Fs+f2WYGChWf25t/XDXG97cQQ420GXvbpkmBeeOyd/Vw4xyIRdRwF
G/ZRfDq5J0qy9XFhI48xnvO7+a6N4j0a1zY4VyNQk9zkvuQbewCfri9MZJVxvk4psg4qR/QYVV4f
r34zgUp021+3ws0MITlNO+MmChismIGqd3K2yAgIQ6hH5mHzrR05pL5xp0Vg0N/bYXlv/MFz9dQk
E1KlToMLqljZnHbuur3UcelfXxXXKU4WxcTTbZDTYtMQtBcUBnERZcEQS6//zgb9DSdeUecDGqUm
LiJ93dwB+Pq6fLxugXsrnKyCesiJhcRWs7ZyAIdKOguLuFF6O9ANoDUxdnrdEtfXIOYLAAP8QGYL
0p0iV/lAxyUp7/6mfNOn1C800dXNt4JBDdzaaGGzaUg5JMO40YFgYFu9asvcdu5Agi8S7xKZYUKP
DEzZRGgfDsKubkG+2qUcEGEJlf9xfi2GiTvOBIS+TKsU9q11jyLqlzAPkoPjWZ/t0fWQuXrybsoE
fi0wyhbTR8kABnFE6M5B1lFlctRnD5taHnJz+ZP4jSzhn2/FYgBQCKrWUYYlSQEAyHiDdLY7Nu/X
3Y5/TH8ZYQIBMWZoKEk4pmry3mgQpiQCcCxnjBA3OJjHkXeDjgNTMOdHqE8rR+8sAN/Nwu+gfZaG
ZNrRvkdUhnA8CcQ3gqPE/UQnFpk1xU5t1ZmNsOCUvd8B3qAM3yWt2k2SiBRZpY7MPiwsTKaAaBrF
I5Q1zxc3jgreaxYKCcmXZl8HFCk9hfoBgqibO7/SOSPlMN2Yvv5sRKvfQacxDrSDhkFDqCjv2q/X
Pyb32J38GroxJ9HKQKwCE3+Gi1iJYjPzjfar2YowA9zs/8QIk7voRTVIJMb3nBowI6ta07tlNs9u
EsvfGii6y2QR+Ch3WTpCIuDN6FKyuaapdLNZ02dxKmHYKP8yaZObWCJoPD8NPDHDOOps2OWABglu
k0e8hIM+iv3pYNy1vuk6hzK0HjbBJcwbUkO5/dfCGEdtK0NaTWoR4p4H6378sn1bfxjvFGacQTre
xyAd2ECzNwBHG1d7XYLaJyCJqCLRiaGR8sKNwWSjoxcF4hw2y+5mqB18vI/XwwTmkOSWMlDLOyFi
gmcHQ2Pg98bbB2NAjO8MVimPY49svg+kwrMPwz1YLSHXCuj/cEO7X4qXaP4SABCMkbxRtExeYDg1
z1xLSlvO1kxQcm5aEmG8+ceUSmFhdz1UMTb3+lnkBdZTW8zlNG3aNuYL+jfWBoKycvLG7e/rFvir
MaDUA16Uyxk8sGBVMzg3ELqJ6lbW31bxWIHnxpaIIJ7yl4KJtw+lj4sBsZrMOiEZ3kdxEbuG/t4o
++sr4WbAFIbwXwv0F5wGri4xrZLCT2YvfYH4DpyD7IqQirFnb6q1W48FaNBFOHReXDm1ygTvuLLK
eZ7wqDAzjYpRFMehx9Bg3Iv0gvlu/2t5bFy260RdatwSekQZnKRAi/q9KjxefIf4ZYY5XXbXKgpE
2OByXQDMYFU4rj637mqLnq+8K+B049hzBE6eqdadCkNL2986HVDMdeNHVkCS2Gk332k6+1+6IHOa
4iwzrJXWTCwSeyRHnmILqgCCNbG15bo0G2VM4eTa5qie1EigfduOlensByhiQUtM/YOqFkYiNfAL
0k/2cTmc+Hylm9tUzIiFYN/8O83L/ZoW+6QUkXlxnUKBcKWO6j9G55ijNZNuAfcznELCHdKazg4y
5+GqIaPshQORvGwIBZSftpgD1UmSWW4WtbUzo2RHbua3/Iby+ua38Q6DXl+Kp/Vo7tJAFz04uCEK
U45o79FyEUsF06YYQO8qlFDMiqQHyCtoywsKokKuFm6SgPm5n4YY11/lNEYygqPcB1SXUw22nePN
ofktfaIq3Ikv+n7cIHVikPH81B7bdJVQxlvlygfRjT87XyuRWgrXCBiB1Q8tzgs9LmKpo56YiIT2
rH/NM7Kr7ZF4iybiIOZ+JnCxgR0QIvHQVjyP830vyRUE6LCYZXPzXHaLNbp+lXAtYCgd49nowALI
c25Bmo1kWxxoB5cqphclzbm1zFpgg7tbAMyZ4IuXwTDIuPk0AwA/5Di5UnacO+Ro9uQ65dP1hXA9
De0KEHehTIipPubSSIoM7CsAUUGegw5nqkHhT39tqAgln6gqCH1qCCzy1nVqkfk6VZ1M65KAE0G7
X8YIwlyBgpY8xtwO5Gjf2+8gDI1ESAMuquHUKHOgsqEcsmFOMICmxImvbubq6sqa+nWt7XotVgIU
0A9S3UCVzbH39bp8r9TuD0Ix5I7wOEXsUi/AgMXWWHLVo4AZm1JM7ttBjXOX5ATfdu2L2QmvbzRn
nzHWiHEYKoKEUU3Gf/TNMVPI/lXuNtIbugGoZ3SHP3g1wQommDCtgFWxr6baQHJYbtDk2rRSD5QK
k/cWqDCXZiiD6+vhDUmC6hUwSgMgIpxuJkZJY64q+ELgKjgq0Nf9UfmtF/txuL4rXu1vh/xhiJDO
CzJs7jaCbBQ7qYMbkBVut1elWesNVg09C0kTErXB4Ovf19cmMsJ8KyeLzT6PsYsV0WzXTOK7Zi5e
ijIR7CHnmsYWQjsXEFEHwyPM2RuAEq0Bjwd5Rw32+yQ7AMR2b7dZaKijINMRmWJOnFo7aZsqcD9i
31HdQ5k8TEAr9YaIiVVkiHELo+3GZk5Aztx2eVDpK+Q9t7C0d23q+Ne/Eifq6zK4bkAwAZI+/Pc8
6stFlxhyp2weGTpvHNAezAWwb7r/zAv5zALzVM8byRnLHn7QTNiyBl382SXZ2t8VqtZ/k8bNiHJL
E5UAuTt4si7tfF3QP1VL9CCAqZ3Gw2ahvCnrQae8D4roZuZawmQlWJtxlqDIe26pQHFekUuwmkzK
0bA/ZekNMZ7sRTTyyP1QGM3AeChoDcGfz5gZM2OTnA9Z5ed6ftFErCm8WxMcrD8NXNBSJRvBKcLA
/xDaj8bkot4I6lev+DH6mme8qTuwh4pADJy0F+ImoFSg0ZZOp54vqp0ne9NA4+2lquRtcTRLUaw/
xvKbTWSvSb9f93X6JS48kXKtooJiQo2esVY6jp0aM47vOnXhoNthDHon07AE0ZX7pU7MMFFiwqsO
oib0knJUEphrYe/bWK2i64sRWWH8ocVACFln0DSZeerKE/L3P0AlAYgHcQGUaHGC2RnbRa01Pdf0
CogBY3SBKP80y7oAO8D9JCc26CpPnnK90VZjtaJzLOVGtG0m3tw5/tNlIulJ7nadGGJO6UC5Oo0G
i2nXpIEkXqvuqlmt9tc/Cs+fwWoNyl0TCuh4oZ4vxxm33gTSHilZCXH1okWSUqab2yf9gzIaj3bp
QHvPkgSuwNvEU6uMwzl9vcgVJI89kGO5svR9qxGCREVe3gbSMieyLhCUQ1fqfGlxaaQZIQ3CQ954
UwXcsWh8XGSB8QV1JXFTlGBTaqQvuXKzWqJ+Cr1p2PN/ugTWB7rJ2foVBqrjcNT8bdfslAPqpl5D
oQqCN4FoNfTaOPFsqVSMHp0PiDct5Aaty4dhKAXfne9tvz4J422SXUzTBlk0r6qXXdEFlUrceDpK
euxV5ktKluC6d9O/72L/wHgFrjoNj0SW8cKZ2rbWugE33abuBn0qfHmrPzu5eZOTCthBJ/mD6ABx
lZ8GmdShVzc9A2sY0nxz1jw9ie/rEcNW5tK9XF8ZDx8J5QWQJCAZRzLJdgyXuTMqYk/wbsyUWO4w
ebgaag+34M6+B5MPUnEQgYfr4Dq+sxdV13kDEgZ4jShrho1klhWUNMEGEy8aSL7yN/1ghdsu9+Kd
FVEKITEek5OwwBiGsFUkLOAGZ05yvehqY49goHMWcOAb6J/IxU0XF/6Sivj+OR5zZoo50iCpn+cm
h4c2qEtbgNd1te3W2nNmSTdV/gcsV7BmI/oiRQIehHEXyGNKm9mB+aUvvzfjrlZTV20EEZ4Ta89s
MJuXybKV9gVirQ00opFg6qgt91knEGTjBI8zK8y+9aWUoC6HT9Qa2j4bN7eTDEF84nvBr81igqE9
WlrXtdAeh7pd5uXWFEKXyXAdoPrHLBa9OEXWmGioFSTPdQuPtHr9rBiQC9JlV1XuusEWJF98j/u1
LCYmThsSCjTq8KBeh8+T8+ig/KGmB7Vp/aUVzU5xV6UDD4K0H5PTbIN+hIBxaozIyaFHHqrdF1Dn
Rcb22ZYHXxCfOFcX5n5wYCkfHQSfmGxvHY2+0gfw4Azv2vuwV3ZOoD3q3z6IXENROYvrfb+MsZAx
GwS1CXRVMENbkx+V1Lp5LcLccq6u0/WwsOK6mYmqZjABqmsfyf5xUv5aJO2Ym4Vrb1lg/gGdGd4X
EAQEUEwxUGs5v46LDHK9k9yCJGaTM9eMy+xdnWTjJnX0UfDg5W6fjaqYBfJNzEMyIUJastiYJbjg
soDgf/nLNAWJjMgA/fOT1MKcjQIi2VDoVojhDWBKcaXWEpFY0w1hLnv6qP25CiY+KBaEb5oeTFN6
tBx/dd5EVUzRWpjAsKT9XPf05pNI42WICpZoqugDmXWxEowT2RqScjw0me+RGpUKkS3Q5S0hXuX6
E2YP76X75Z0svgIN5TKSn0ffOkCwNIxDwD1dAEzeyxJ5Ye5XQiljXseWTlvScp8NX2TZdvDMVvPC
ySjlXfaS6l75ZHrNffo8HEYfOMnKV/6oWIwYhaoplFqBBMZmsP6/rCsgySvurPsOyP38ACTRFND5
dNEXvVzguSkW57V0uIJVG6ZmT/ZG043Tx+IbyKC81qciTaCidR1lJ9ZT+Wg0nn1oxjBTy9qyJssb
CJG76yHZVeG0UyLMtqDiL1rihdNSQ2CNMNGvAxTZZM6GOumWETtV6pakfWo1V586AcDlMiOECYhN
gpYYT0lMRjJOq1jxMNlLnbpTuAYxuZVKLz9IQReo4UDe/x9fjW4Ou3mnBpmgoi9mYVoyDFLO+kLz
x2jaTd4SZHUg5hC47F2g/YNsl7IUUn1WthEEkvW+aWfrXY/yJ21n7kFaF0LCcyceH7mIY4wlJsCY
Rj228mi9l5iEr7rkVutVV+1eNNDwZ8oK1RbVt4gmyEIuz8C5VVbbJ3XAUmcOkM7sgzlYiQdmMKX3
Sjwo6CHvGxeRbk1d4ouenRf5D2OYWW6tAy9YdjA8zDLY0TKSAuHdTObDpJbSfZ92zm1TSVP4u/kJ
NatbeDtRJMqFlpGcQCO+W3OYxfspPgCFFZKouDEOzSEJ678E1i58lbHGLNJCoopyB6ylxy00QmVn
v+R7zaOPpd9/mjG2mIQynvu2aRfYoqIHiX3ThMuOHNcwj6PknYD8/Pra6E8/O4bUHAI1GJJMRGtW
HbzKCXihLOt9bbEq6W6SrSCeU982RUiUixjGGGLOe0MmpZ165x36Im49vnSouv27lTBBchjwppYT
+52AvcC0IGf0Q2kerOzvf2eFcQXDaJcq26z3CszQcw7w0yD5g5p5kAC6boj+3P/5YQBYZQw5I+RI
E+Ac3VZ5dMzBHfPCBzn2dSNXvz6MMM7WLa1llgqMbM4MXaPR15370VK8eFQFX+ey83j6/WGKKRpu
PeKircLUEo5voInH5D2Qk/oeuvT+dGfZXv4JrRJQrgCfKji/oq1kcpElWxVpnmC6UP7agJao82dj
3l/fSX4ERpsYfRkNF7XGXKAG8Gh1l4I1DcdWBZ/VqKOZgXK/G7saJN3y5zgQxgruXXNikzlTEsZc
iyW337Ojfki9Iuzdaa+Eit9HZQRaniC9affjy3YLdW7v+nK5p/mXZZ1xnNrW4mXQsKUzdKlywMq2
+fG6hcuMhDrMiQnGYeZkLpRJpiawo5QhbPtqPrT+eKzD9UYVwZJYc5AMw3gXXh+4TqgIuMOct7TI
Wmku4vfiOIP2p6CzynfOZ2Q/6IeLLhS6Oydn+8IWu3uxUaW1HL83KbhLpyJauqe5gep4F84ini22
zXZhi9lGDLkrbV3G7/Khv6sfSTAPfvNj9mPMsc87kK1F4+pf/3JMULmwyBw3eSwGa1Ljd5PsQU7S
xbeL+UlG8nHdCnOoGSsY1ccenzxKk5FofVxhDxNAGWP0eW8cW/CwZo7XhQkmv+/7OHEmI37P9sgw
INKoRelOnAnzFoLGsaZRDJQMfcrzhTjpuDT1Ir1LFH3svI2gsDdFJJUiG4xzYyJXQ51Kei/B62oN
+6JB9VxpBTGBbwRVXkpQY4HW+Hwh4GbeullOPm2QrZtCbXHipzl3pOowWWv5e5V6CPChdYz6CtQS
0VdFinJuK5FNex4x2Aqdjfkul9rcy5NtjabJEjX2NRV/1dlhRb1NVdCYBEMmYoTMfB8ya1rdovKG
V54ZNXvd03aU9Az/BlVYPVRh/ujc1YdtZx+1RxvhvntcQ81D1n9Tvap3iU8kzKmLnoTMZlOCCIB4
oOLrYAQNJUHmkCm5o0mNoqb+2mR7sPWFmiK56xj+1iFjrbCVOaWq2rhQTDC5W80xz9qnsRv2Mane
rpthbpMLM8zXLDFJko45zGzt8qUCWUqgSoOoIsc1ghcnmkkYiAfF27nLYDZwyhbVSH0NWnVpORwd
swj+YB1ASyogaELjj6W+lpsCiVPXYCA0hoz77Fvlt+sGWP2C/+zUiQXmjBmZ05jyAGp9HahdCA2/
VWHtdeYBXhgNrq4HZthEqK9nuL72SzTc2k+iai3X805+At3nk8CL2pkDT8DM42QM3ljIbqMUrlHJ
v3eLfKyUzrhQKSEIcLE0TQ6UNhxTT4gPGNFNWnU7MwHHhdPtHeU3BwX/MaUBegdUF6bfGPfD+7Kq
SBunPnp1xN3QzuzV5jBN5A16Kq3AR3jbh4AFOloq+gYxufPti3NnnmI1Jb6sNE+gogIoVQMJ37CJ
bi+WR+4/y8LDDhV8gF2AYTy31OpzAg4qLMv8LD1jzu2pfSQH525LIAxIXrDS4a44SH5/I7pt2Fzq
wjKTc5RZlqwA4KV+U7vON/pgnnatX1AlbAjBCRk72MHF/9gzKJMN3rBAlzErbVQqXdlLsPcONcej
Bizst+0Rk1Ee+JzE5niRxDoxxyxv7EYTuQfMJZDqlR4aI1AD8ERCxFlLbpV81++pWRF2iS7i5B66
WCQT8UmzkNRoYLVaTa+EPLBmb0ejeVAr4natAGfLNqj/sYZmggllNrgqc8otsmlI43D8Zs+OrPsF
HL05sM2bD2RbAKYx10jxcFNdGeBE4VK5ZwQFT0CnwKl9UbK22traRhtLlTFIu66la3f3sj3/Xr5C
lwhgCeTXbPQdoPfGxFK1NYmtpm3iOxXKZNXixekT1FIEcYzjLGdWmI2cF6kwhwlWJk2D/NST7Aiy
VJEBupkn8TjXwI2vln3iV3MEiQJ/6EWygZzPcbYEJnus10lboXmV+FDPggaQ6UlpigqjqIjJNwMU
PbTqoFDFhuG40delMrXW3VLNjpql+bSl8dek0I3g+i3KNQTFFtS5kUFBg+B8x2Kn19Sxgk5qE98O
gxF12X7rh911I3RTmONKxWuhgk61MNB8PDeigRbSgQ5Q646pDVICu/ScbHhdh2HfJprAk7kucGKL
+UDrpKC/aQwJTdO8sjomjgjqwF2Ng6oGhcMj82bOSps7FbIOo3WtsgH35EsyVS9yAu7+WPWv7xsn
zEELFfUhaGwD9sVWFialXpbENhN/0CSdROq8WNLiExv8K447J51cdh7p505ZfGkaNF2wlby7y0Jn
yoYssAVwBcuNBgTQNNhrRnxSgCu8eSmDzFcfsi/li4Y0/jfJjT9i0Ik1dpata3sjXzaEWXR+3Lld
/4+061qOG0m2X4QImIJ7hWtPJ5IyLwiJGsJ7j6+/p1qzQ3Q1pmukG7sb+6AIZmchKyvtOVYOlhQE
X64hzxyDXDOSpSgm8KjbZmx6DYGHho2ehrz1inf7y61dq6UAmkgtHJGkZ3mYqDi5pv2egCevHYEO
KXBX13h6MKY4TYPedA0NoDa9Uz8j66ms4AW8Xba6L77G7vDZcG8rxrOJc41loZmhpbkG4gpU3xVb
k58p91qGboNQ/Bycwgld3lPPFm1+mQUd8MAsGlJctphY9BVa7lkSOa2jv+VH0aWvbtjY5JlYOYis
Ot/5g4Ty10zJ3yLpsS90zHwtqjIjjZxqyBMrrZI3sMCoFsJ9HtrR2g0/T6/8LYnxjIECqHclgqSs
0hy1lxqr09LOwiOjWLpsdE6ecy71qmUujpPxj8UwlmndQaIvTtsSA9i+WLqYpuGUpNYi7vMaGIoT
QKlCv/byDHUStDGpwCQDkjNxL3mZC2Ib/UcCildntGWv3tePIuDD1R3iGo6NrpwqFn3ptCwIQZBg
MKc6xuoYG2YVOeQRHMy93d+bnzBa6KVIENtDb+fAHAVJW2DxK1jn2j3z1l3IZvSekqqaBQGyhUPr
qG/+BuXajbGTC1v9HDqJ3brdcWrdxEsEm2e3K+7gQjY9l4XdEjnJJQVEIo4ppOjzP2G8g2M99Nff
0o4J98GHEKedOERAORhdUSztZO6cFmjpWC70OF9xxVIvtGGC/FhpAImi4CQBtevRUlPzF7AtwDCF
xwcwJIUzbQvOu7CWPS1lsvjVMTr/QkBl0poC1IqBZNkHVoHhXqu108SaJH7rgvPZWHZLiUyhEUoQ
GqOlOjugcjuNW3S5wADS7WIrcXi8HOtfEYiOBBVDyod8aSfFmOSFXmo42SjczOlgzfqneghcwqOQ
W/+EH4KY96ma0jALQX7qzH1laUNmk9iwZJ23ssUTw/hrfxrMomt61EeCzgkhrmj1+1RVN7ctcv07
fWjDuJW2HqqmP5Nj5cBHjgD6P//mWDl97GB/HyIY7yF0g+4HAYmcQorqByHQCQYA/QZgeJN4mIMk
fQNqjXoX9fP4/bZyvDNkfIcRVnqb1rCJUYkshXxLg5Oh8QDxaCPi2n18qMe4j3TAgnZHDc9IldOc
DY9q3XwHUuZOCdADHyX5UZwxbS7LfghChvHzbRXPJdpb4hmPoneFnCS5CLt/1E5C6mG+B/GzJQCO
N/km2L09tXug802eFlmZE+/zDQ8+gR2+YT8wG+QqbVZHQgFC7Glf3J3nfPblXXwGjuG2ROk1vqEu
m0SaDUHBvukiR/8k76NttRFs35O/UPf5HypBHKdyDhwXj0+X5GUpmnh8gIYSusDi3SDNc0EDkGI1
GzBS4warHnZ4SnkrOGsh6fLSsPNafiR2bZXDqujAjwZSimzYyV87D1sDTlx6E6/hy/bvrz4i42/E
YFCJOjRw2LsqtPXndAe0rshRPwPyLNUtbFO5wycsXGben73w/1wgNl0X5soIhxafNG9UixSPc8hZ
s12rql8cJuOBGn3EhH2FO5K8lrvqDihPXueOstX3tKGOcbHaxWL0XYEKsQHaD1rD5EHeU1dzy24Z
VwT0vXqUBCg5aeKuDoMNCtKbsnwXo6+CMv5RRPNxooxLauexqkt0UB25azeVKTqViSGCInHNOt3c
9j+c94PtU00Dhn4Jhi4c0yd27oNRbNrdlkB/7I2TY3tUASCHfdDMRE4tjF8mJXxousEx9eieFJ2b
5IoTK7zlPs67wU6Tm0mfVkM7I4MheN5902kkQGIJP28rxnEuLM5kRsRGMAK4TTCTtyAbJ4Fq2pnv
a5pdgBY92wFGJeQVejjfiy30dHneqXOHqyBrB2kEV/P8122tOIbOFpYLAxQfYgLH1c39J3U2trkU
eDqG4nu93I0CD3h0LZVe3m22DpeWctvK9GKd6zldjuGO2MvoZE5+PziKm2+EZ97AEU9Hxp8IOjGr
ALzbTpr0xzAz7WiY3HGEo/b3Us6tiPDE0X9fvEIhXRBKaCgYZU76DHIwS/pBgfYHR/PMR92lkPDy
Nt38JuAN+yScIRcXconcm2lE091cRX9gxA6b8JDyAG94BsnEL0VUAg5pHiNHUWTBxahdfKcXCvd5
48QN7BB5KxaVnoGQAxWX+ji86ofxQIe3lPfhHrGEc/sO/EvC/I8DZtf/NIAkJmKKkws7u3hHrOB1
G/Jd2Qp2udVfBs/4Ih5RNaYxEi8P4kUO53mHxVdDEy3y2/H8kPv7IgOZtwHaAgzhYevrP2B/cL4f
W8oyEX+aKr1/Ikrgsb7XQSx1+zRZzgDWDll4kSAcTa1ucJrSJ20TbbsAA2Oam4M8AKNwwCxsD0Fh
J3bzBQTNmVXX51gwajkVmNVHAUiJQIem2+vsO9T1/lSZWoDGe1ZJ2qGpK6VxwinPh2MbyL3PySvW
A/uFPKaeW41RJSctLFaVkLu45a70MLfrgDap6d0mP2+WiEe6UoLGk/GSefAPPJ1XP+7iNzBJdY5t
2djPEQYSfcDVNywkom+3vy5PBJNOa5NvarmMB0mXQAbV3VWgFPj/SaC/YHEhVGD+xeChjp0qiO99
WXzOfZUTo6xfusVBUeNZyMBWfhZjcRk57rto0zyh3crYAmp2GfDQeTPdvCNjnh8izVhLSvBV5Ka1
fEDwgR7v948MzK3otiug6oAfu1RH8CX6ivewPWB2ZIVbm9xEbu06LUSYzHxf18pmX0cQ0XticZix
w4MUHXTreEx3YoeFc0t9FzRUM3ktmdWIAeA+aNvBM6HbxVysea57o/iV1P0aPE3vCzrMi/dtk7oA
lok+8exjVVmQWkmaDDyaq2kuWe3GRm1QYpwxzTipnxXUaXU4rdtfbbXSp9BdImAYQhDb8Z71xuhH
KiY+Ft/VCMRGAZy/9OjfNztjK25997bAtcBkKY+5Wd1AwpIkZuSA0dAGrqZlZEd//CsTvHLk7Rev
JqhYxgbuMDb4VZkdAumTMh5aEUF5Dboh7RW4Vg+RSwO9aCfZih278g/zgWema1dtKZTJpMq2zMhY
wUqF8lkkPpjEeDgYq6axUIu5auo8Gkqjw3OAk9eOW82qqke0tv/AB2LzC3Me4MRTrvq7oTQnei5R
PRIsAWArqg6827aw2hxB91g9E7lic4c5qlnS4ipu+wJlZsWb/or2sp07Bdb0xHvhkY4jl6d4I7YW
r3u39omWcpkDDJq4wvYOjF4ah89ErdxQ6njr5ms56EIGW+GKi3YeOiIj4B/0yJrSKcH8QjNvR7Ac
e11jNFatxT/nfEo4N2z1YaHhBv4LghLC0oZF5UD8IjVoBWpwmye6OEsQt86u7MiHbnv7G67ZIgHE
IcQBF8pk1Wz1pFaEyYidKPqMbC1R3qrf3DU+x3JLEYzzbeeGVKNv5E46adaIZQ01+5Pqx1IEE7SE
YSdoLcGNmv1hm5FUtZpBecyi5uQXavAHF2spjAlfBC2eAzMwcyTxIFwan7Tiy+1v8i8W8PFRGCcr
joUAPiS6joT1V9TkrMrONqoregp4oHnEoDwLoP++iGOwjdcNRgZDV8tTOtxF7aavnm4rtH5fP/Rh
ohc9nqLZL6GPnmShJWhkW5TRHxT+l1+FyZhlUvZTJhLcmtR8nOVmo+ZCgold5dNtXXjHxfi8eBq7
UIlwXAJgfMcoAA/OU5hw33WeGMbF1eZUAd0kQkfSTmVrcBVH3Qau6b5pb91uAIEBf/78X9z5P5+J
TXequWySQo8LJMzV6+SqR8kKHf8nuVf2Kej9yNbc6U7l8gyQYx1s6Q1b934tBFBVLcAroBctdk6L
99tfbd2bf6jGOIgyktBqUvBSiWphIaqwwuApyPcTKTwp7x0xJJy3kfP92KKbKgwIymgx39QBnqo/
T8lLztunWpVBh0kobQ2W1BjHiuFZbFwTfC81bptHJY4ER9RbbVv2ZcRxSavfyKQvBII/VCIZUabc
KvMw43aBR9xpa8mO1JCT/a5qsxDBfCJBziQkNhBR6pjkkCbXHN7KvHi5bQjrRr4Qw3jvspOFFGxk
8BO+O37B8ocLG3ekcgNaKweDQBvike0k2fpg8SpSPA0Zt07aSY1TA6LT+nFMVEzZP8t54XAUpM6U
LZ5TNN3/WQVzjkTsyiFWIMXI5X2bRNMm77XInk1RPmSVCCbrWsksbGG/1pP5OdGKbTtWn4gaolLV
yeB5M9L50UwoI5ZR6pxrsWpHix/HnH5TZbVRRF3hCPrWiN8MHovnWnqyVJ454tYPSEASeGeSfUp8
2S2nrW+8kehr3fBggnjnTL/28t0M26QBjRfy/2k6xNjWKMCGOt1rEw+xmKcT/SELQVquFHldIUSr
pfe+iG3AKNpSvo9lGStyDcd8ZJ5azDsawKWUbY4v1LjJjCqm6QVbTN+D2gKTeaEdAUGiB1OIsAEV
JCY7VDvd5+54Ku4Fh4cnunpfgMMEVDMQdwJJ+VLxEkVGENjDI8h1sCOBsZcSKbb80efsZa8a5Ycc
wtQl4iAP+8lATtuEM3oH2qw7aN/n/08pjAuVhBQDxCW0UVP/oJm+q4W/ydf4K9L+8G0sJAbREDGg
DIIatKY6AGd+CX2NN+p3zgiu/MtCCGOOmIfTknbwEf6KVW1JGhDRdWKXU3ec59YpmnJrquZbo2Q/
+pY3t0W/+C3ZjHH6DaYpyjqKHXASVidgjBmWQdTMBcfseFTH1D81QzYe0QMNdoAnAKwRx7lS53nr
BzDRn1+EpBF7mEpQgSSlwmwAECRAfbcDmTlIUngciKuWuThr5gYoYpkMndnFTlcmVjdlwD7jUd+t
RkYfItiinC+QxiQJzFIwIktXnqTwMISvWmXYSnWsVB6dDSMOhRxsAaBUoGIxFtvgCuM1Y7VK86GU
JXsWFQD5Bb2I4WiQup0iVA69TiClV+gTEATKuvlx++Mx7uQsGijBBmhGZUDGGMzbM5VNV6nBkFuF
lmDed+5nDyhHr7UhuLcFMV/tlyCUUUWA0uA/bAIvJFHZgR4xtxoZqPaoU1itlnOUYW7C3zI0rGQY
dPeRhYnVCBgp8gyMQ0IrVoe8TTGf2QipIzSl4tV9VzolKE6/hlMqPyZmDPqR2zoyj9KVfOYiCJ0M
IIu2yS1MOkt/YRQMa2GmqrybsRl9D+bC94jkT59vC2XruL+kYu8N8GvYwDB1evKLp7Ad0ZiIM0Wy
4x3ZCyh26ocABUFKPN4iQ0n3vMox8xr+LVDDtqKuIvZl8SBnOTXVvO/AnxfU06as5NCtIiM/CX7X
3at6Y3JMhx2suhLIGKlRNKRPlDq35C4xLMVv3wtsA51qOa+sVjfFn/5gVO++iIguDyRxGzdFYKcG
4WG7rN1T7LkoBmimsVfDIjfPvkBBl6D4oCXGtm000Au1pl68qDUETr5YPEgjauhKFAycRGDVtLGd
BNxQzD1j+vryI5t1EzddNwBxIx3yAxBZBs8HdZjbjoXhqJ2keWMVYq48CPunLG3lB46RrZq2IaEg
puoiiNKYhzoMyqTo8lC28bx1bvh1eMXQtxucii+9C7REgEw1xwD/z7O1NblwiiBUAJa+jtX0S737
qVJzX0kLi+iR+jnB4nRuA/U7S+wyaszaCv0keTLFqQg2tzVeO3AsN0NbFQ2LK+SlCsM8uQEaaDto
n2Z1m5af4morxtheETfSuM0SznDWmiOmyAgmAQAwfDGjqJboXVqGAJqW5CxHS76eMRqaZrX+pc1G
meepVq8UiNLx4mDvUMQm2uW5Cr7cjPWQKbaI6UH1x/nJvtO8xDEfeFMAa54fdwUwBgq+H3zGpShw
HpE2zxTQM3YD0Ekr7V31S97VZHs+Zx8By8RmLDilVDDWXkpR6jJT/C4BpP59vjP22TZ4BF8Q5ogs
GVPWARfAasUJysgOdbw0sqRrZ6+88LrzLAdFl6aKrQNgotT2RS84uXQoI44drpwesA+waA9sQ5Fi
xl/qNct5P4Z9CRSuuLbiYi8HL7cNnUX0oSeHv42SOri/KYwj82rF/SQnWEnEErHTuTIQ4zaxI7g6
OKTAC2orbuoOXGK4Fa0ouzQuFpD+qFe71KoMtXQ0QvC19W3s6tP0WETGz9t6rVwolGbAH4UnFisq
7IWKC6MJyg4iynHc93FyrPzqK1pMHMe88vyiJYGOhEl9M8WavlQl1THMBVYbCVztvQOY1RIAibi/
95INFBULta4dr2TClmvwxSAS2CBobYqg0jGYbEPOU7y8ZgP8qlNyJ7rwxICdTA/SptrRNS0foBwI
xh3eHbs+UYrbIgHBVgQYCS7ZpaZdp0ihGhpQrLOb5Kc4PfgGb7fo+lrB++ERBfojXYlm/T1RUrjj
XsitpM5z0/EJAGzVOBdDC7guYu8BuM3X7NuWwt4AepIyImkTzlfUabP/UrE8DE1BCsPB0k7Va7Ad
Tp1mx5/GzKIxVGCPf+l/TT90jn0yV+CXUGBoAYsBlwBRyqVQUZiFtO2CwdJzYTf4xfvQ6H9xFKM/
fJGZ/ZIBfFakMmjymyymiwLK8yloMkCNfRfeguDcCK/pkhSSs6b/D+VyxkSuBDKWSdKgyEkPgUID
ri7zW1i022b+bVAcfC4og+43qEbhty5PLu3ixKhC1Kurxmuwu6dVz7BaTiy/qgnsAT5XBikWO3iu
Ya4pF0vYhFq3dpEWWyUwQltugdt2+yOt2sFCEP33xUOi6bMslQoEGVLhxkP2oJXBp9si2Mfx12dZ
yGBvrp+XitZDRoPh/dwJ9vqTcdSwDNHtwr26q3nTtcwtvpLHmEEcTqVZm1Rem1pyO+6qcZ+aQOds
TI77XZOEdA+8d8hhwVzJXN12TARUT8fBkgWAQqdkCxghL5EkYAjyWpxropC4Yo9eB4gC1t0vP5Ss
dM2oCjO8RPIugssdAAGBpLmRyWPeYv37+fiwEIvGAkWrB5bxpSSigfiuTlTA+n/JXtMeeNRW01iA
NXE1Z3iraqcDfMur+Qp2R6/4PZiFX7IRfuoqAWkl+CguZWtDmadZQwZLKfsjsKqPqiDsOOZIkwXW
LQEv+R8ZzEmmfg0i4gQyaocCboBFch9s1I3hhY+84HPtGi9FMUeZEQK+nVgZrBJECYppK81rNL9x
9KFnckMfluIpN1StHCsIGWx53xtbybfK1q42IdiCs2P8fXLirYZZuLv2xBtVYAN59nuxU1xBoGVt
Ss9SQV42uUAp3JMHdaN5NcZMOHoy+e+VLPnSNmZJaJAuyYNFHkGJLH3RUG5QnAqQcZrT7oXH9Cl5
Tp9SzJr/ZtX7SjJzzY0JU3gYxhswHVdaCdDAknvQv9xWj2MqKuOIIwlcu4IB7YYh2mpjs42F8kkT
eOVLdpDhShfGGeNBmztphC75ERfbBCtJhFhbqC3QtSJq423crL0vixugMr64r1WQOcYQFwBgRm9S
K2o5B8eTwLqMKsHaZw7znzGDKUSTXdS8Iv6a79UV+F1gQgAvhyVyMaYhn8IGbl5rADOPF3kwJksJ
7vvkx20jWNMFrk/XAZEJUCC2vRI3cxXF+oCP02OGOuuaGPTlun1bCDvDdzYB5IwaIO0QwqCedHmR
iiTC1JSJUIJsAPTlqYeuQiupdEE5ZNFtuukAjkI+6DK7AHYll3G8dYYxRVE4y83uFECfQ0Ug+vVb
HQjogK065ncA6d8O28TpHrQDfyNg7Y4tFWfcsQYCUFPs8QOUon/M4sASUNIqtPwPLBIJCujCaHoE
YInL8w1hR3ORQUxdis++oj4HaetyviH9G6zTB2gbZkwVVAPBOnApo++yUkJlZrCS1Eq+U5Q6bRft
wgkAHeiWHzByxVGKzTT//nofEpmbLCNnLqQMEtV7f5M9dU+VHTpYw/RqLHAgTZ+2vNdz1VctlWQM
tTIywAzmEAlfBcBd8Hp4iY0amNOAQJVX6+MqyJjnVNctpoggTdj6j+HX0qNPqOmGP2Y0V+fGCvfZ
Z85XXHvSlgoyBtmPfSd35Vnk7Ml2cugx6D3a8X2eW74TYRRafS2ROLU2ruMJA4635Z9zlX+3oitO
XCJlZU8GyO+99Dn65NulE9yR/XgcjxR8pXQpyvcOUKlvjTNuDQQUBS4pJV8IPNh37OY2ebr9mzgf
XRaZWq8Q6bNIKvymX5N2ja22FoUCNTeyA/pF3qbOuk/4n1mjC3V5kVS9iMCQTcVFuxk0z+mgAI6F
hyNALfXWQTMuoZNNPxUUSDHbKtlk/RShmhbuNUCyOFmnOAmRf3LOkeaht0TSt2aR2WGdoB2yHiKB
Sfw9c4uNdix2/aPA37NafbX+8UWgM7qUNPl5M+QiJMkb/+Rv2l2HCdnA1d1k135Hmyv5Xeg6xhcB
C/dSojGIvk+oL6rQWhOF8C6TDYwj/GZV/EoM439CAFgYWIuBRyDvs5xgSi20K+0b50PdduVoh14q
g16WPCN/pOnx5A7f0KT0HYrRIXvGoR4tPnnGakL+4XZkFn0r6dqkwk0YrPGLvKes5vVh3mDLA32U
2OVvyqyGT2dmHPRRUPRnjL9ISzEv6XsYkqcSHWZV/KqLXj3xKoTrrmMhiDF5Kc1MpSggSLpX3upd
twnB/ROnVrjNXT5+1KrnWEhjzF6v5EbFOjku2CRY4/CgNZWj/SbOyS8TXAhhLD0jkxmIIYT4pgtM
P6skxApgirdtcPUGL6Qwhg6IA4Ad5ZAS6y+SuU163ubD+uO6kMAYeRIWYWzSTwPiKae5o3hv2anc
ZrthRz7TcjFvZ4RndMzTqhdxUYNGEy5ixJsqo/PvA72lz7aRwKs3rTr3D93YimCf5bLuT5iamEV5
UxePraJbkVpbOVD7w4mXjPyLlaP3TecZaPGJ8RdlLIydMiG89EZP8RIXdH/BqXbNTeENP35zaepv
A/yQxpgGxlzbuCbIffIqI0CBE4eXRkw1O6pE8/NtK1ythKMs849mjJHIYplHogzNeq89tr6lAwJO
2o5gLDLuzff+rrpHd31zW+ia6RsAU5ewv05AIsfYiZANSLyB7GhlmBgXzQbz6Y+3Jay6WzRrkdgB
2fy6izwnmZEUag3b/3ZmPbgXBQt4HtmXsrb0Te4KO2PgFKnXCjPoRmIRCOV3kIIS5ii7AV0hJJm9
RftCMpbVm5ca3KOyU7/wVn9WDJL2VbHDp5toDgFO8tIghTCRm6I2AePh+Y+6h/quWxxp6wIkRdx7
ff29IEwD/LBKV6gkdgEtF8ZeoVuLVjznd4NfeRFJ3m5/sGvHTkWgAIphIYm2WS/1MWpM7MWD1lvY
iOiSh5wUliLw6rn0A1yGZxCClrEOYFxIYQcDxzyfRow19pYSGtZgKptSrzZt9qop92N9nPzdbZ3W
P9JCHuM1omHsprGBPADs70vP3wW73pXQq0Ms7/BAZumluaUc4zSqZqgCv4aweEdHVZPN4DU7/nrE
6oda6MQYeTGWaldTnWpRfM1S3Zb79r1RecH7qsmBsgRXGCRYwNG6tIe+iwXQnMIeVCG787OwtAbV
eLn9fdZloP2HsVoM2LATLmDWA7QE4H8sxTgV/bfU4M1G8wSwRi1owAjQIaCbfUfLCmChf72twurX
wGwnzFoWKcXL5TGNlVAZxIeEkAi2ML0Bwd4xY9m+LeVKD8whoC9AiRkkGX1FJj2cBR/veqQCfF/Q
PBV4i1PIm/i6UoQRwSgSmW2bjlRE3e5TMB7O0Y6gqXhbj6v4hAqBxwSWJLqwEttl8cdaHIcZG91a
nDiKDCYD/bEcNaS4vNhrVR0TZ0UQxElXTJla6RtyG0iQNAgYGANGBJo6CYCX/kChhRj64Rb5plJM
8pjOEGOqg01yjL+0eOPIT2ke3NuSeArRf19ISurOMJISkiIgZLfarpRVWx15cw6rhrbQh3GYxpyJ
g0kgJYskDIjULz3hfRmeCMZN9m0FznJTjO1W7vbqoBzHXPVun9WaCIJHDHUUOjpxjk0WZxUJQlfF
OtUCdSQ5/taqHAz766ouDHkpgfnuWHlKRqlQYlvcNEBWVt0QiPLvIMoCB2sw2PV79GC+x3emPe6j
B9GhdV1ef2btLmHgllK9n/FnGZ8Q6G0cRAWUTAtAB+ef1aQCMSPwOEzerDSLgoKAA3EO5mcxhEgn
NthkPfbBbhX5UWwPdvY9Po4P8z3ZiFjKyCh68L7etvtct7rU9j8RL/OMwIrueepeB3fMj2Bi1qFO
jBkYIODD28cPmM4GXIN2X+zoqJn2dNt+rpsFl7LYbeTQ7+coEaBwfhS2KgXC+17sdagF5rPhKHyb
3dbONzxwjbUrrqI3gSBPM2godnnFQzB3RdncxnZQv/nVS47h6Qx2xdGNOvKLMIXqtpDCmO4kRGpC
QPRiS/egX/CKU7BpgeOETU5ab+U8XCtGikIVuvcqODWxwstcdrnUQkUqwKEUjYkLKk9134uj3ZVb
jlI8OUy0MpSGgEnIOrGnTevkAKoqvuF1mUMUsalilKVusKcDD4XiOsvBiOxSP8YoAcQ/qUXcJHaW
WrOXHKpTbxEr/k4TgXbDb+ZclxQuBbJ9byx8a0YrQVEINKSN6lH2MP3b+A7ecVuzyicgeHMOd8Us
MTggoxqCfUtk3oxZ1lFT+nk3JvYgyk5T/yVlwByoTI6lrEvBDBqg+TEBzC4/yYleFCgoJLakjY6o
3pEW906cOO/1dbZNzw8BCCazMOoBF355x+TRV4RhhjLFOyYvM8A4URxPsAMbNhAu7V+oOb+dbkMo
ZRzAlcZ4HViHLoXWcdP0pZalNhG0FzELT4088eox17kOFYIeKuZVNZApsAjhIJ4ATnctJ7YJcG7i
zlvizPtf5s+n/l57ALE5Aw4VOviLB4gxilbpSlFqteQ8zJzd4RgB+NJa+iM2IfbkecRi3nxCKLwr
tvpD5PHilLX7Tkl6QYSFeTFofXmiIL5XpE4UEruvu32kbHL5e+n3+258ve1Y6JdhnCUdRQPyOUZ2
8foxao5+legkhZy8QQ+BVF6ZnqpItCcxdcnIS4/pr2alqZQ2RgU3FZ1tvdRqTFsRCx1CbCPy+ha0
+ve6FznXbPUCLGUwtqiqRpkKmh/b45f4Gej/h7C15y2F9hgcsbeyt/EFK7vu7WNc9ZNLqYx/Now4
GqcWmsW78DnazgfUGdD/pm6y8P4Deu5VLo7LAOphTCIj/Bcxsnh5klMSpkhEUnrNTclpd8OpAK0e
ecZCS+AWA7bletf/orgJiKvxcb/xGmyrX3IhnzllLJADOX6CfLPaZsZDXv/kHOjaBVgqyBxo1tUx
gAQggPguCYH7pRyMnf7NFyzEnPZUWCN8m5s/Bh7hNVDXPyayN1RwJGz7s/NPmjoqgDcPE1u5J3sK
sN68CE/EMu5x51+GA68jvnqWSLENVJsV7E8wge5szH5Nkpje9XzjgxC2NXjl5VURJtZ78T8Mn7Ii
siwbsrhB37fW32TjtUD+e/t78QQwzw4yNxXMMhCAtRkXjPGuwfOIazEr5bT6RwfGVcXaUOc9ZajO
j/UOjK8J4BcFDA4EsqXshb1xQBkZ6MPcEYmrliu9agu5VPVFshVIghrlvoY8JHoKtkABT2z9PgeU
HinudeSqqcDxydezmmeJAK4C0pMBvAkm6FLGAeNVCqoIpAQyEUIgOLBkr27p8EC7He3ZVl8Jxtk9
Hj/hmldB9Iwy6fkxZ4l8NQQOTdUZNAWhwyf9NtgJGwxlcKZO1owFyyHYSgK7noZxpcsTFZqRZMDx
TGxhvFOE+wgbULetce0GK9icABMRJryuh6HkOiMR8hAMwSGhmwBmCWSf6K/qrXPi1qO4gdypixWd
LiQy/qoWMl9KQ2wLDsrXUjhOAaf2z/v7jE3EdVk02BmJbAJMtg7IX3HAezlXvj5q70hiUCPH3g67
JxEmaEDN4RzZxkvniuCNBg5cbPVW+MP0bbG01DsKSEDh4ATiqFhB5yVTa4aPX2BQ/ioJEYnGXLWp
qeUuaEWsXKaUOg85MNrZ8rMl53jQZpvuXRXAlC1jbh53blczoQnWJuh+Nhor18trYRmbeSHqOF/k
HNUejUx79ES3sfNPgm0cs1N90F9SjN1mTiYAlr5DGeyT8nDbbqmRXP0IhNHo7mAmEfHY5cVIxkFO
p0yIbEHMd2L4nsZbpb8LVd2VmshKzK+3xa3FSrTViACC3kUs+l7KU4I+iOIRSvsnE8F7imUOymAy
3ZcHMIZRYLkR6I2/y4BOyy1LsWz1IQ1J2USTEdldNGLY49Sof3BZFnqxdfc6icIgEiEgkJ6F9pMK
crDbJ7cSnVxowDx3dZP2kplAQBLK4B2b7FH8GofPJOJgWawkjRdymDcvKMs6TBXIqaLEQYXcwoKq
0+k8BqQzcvi14f1jCOesfPHG5fWcSG0DOUBHFJ+yzJkBgxU+1w8VuIjye4wZOcpGeR1kK/1hngZH
tceTdCo3vFCIpy/zMnR9ijq9TM+1fpNq+B/MLGQhz9Ot+dKleTDBMwhfDSnuIYXMgtUFOernHANc
qyhefDgmPkZka5CJfjjl3jy2lBLB0WwV4XJjh16+FVQrex43eQpKsgzERM2WPMYvvJBp/TSxh4nd
PjoLx1hpakplY8R4k8oAmDa+BYO11ICzLbN+mB9CGBPNk9EQ1BkPUzu/JsJJG3jREP2V17b5IYB5
FLQpl6QohRbao2kRcLADLA2lUWt051P+yBsY5anDWCC4jtQMyCtwwcXXAtkpITPnneV9Fcb6APAF
bC8dB5YKtWO2x1LHhM5vLx6cIQWwfks70UgqmHBEn3phJjWBi5U2BE58Mt71iddSWykeYM78Qwjz
fBjmWKjDCCGaYNhl/KyWP/3pZzZtA/FPqj9LWRqzoAdWP2MA/g19n4NteT8fUBV8KZFga9500Cbn
tn9fd4gfqmnMSxyAt7Cv0RSwZfDWi/vsibipF7iCq7oDEMzo6GqNRnv2IMM/WSib2AHYw3nukHPA
7AxGqCcNYMxgKoVeWGl43/sd2mPfm8gALtzMedNWLX+hMnORAwGNt8SkJiMCzfO7pH26faZr4eXC
Wq6Du6ZUxQZ/fwTSFa3qqoCAq7lNhtUgErznKIFiQ1Uk5zxy+Zah/hN17dlSFO8Ef/uFjlJtxj0N
IPN9dK89idhl5pXKWVD5X1HNQi7j8ltTytQSVJB247ZHxcnva5BPii/FBiXfx/jJvxfB+Sw40kP3
6T8UoFYjkoV05sKPLehxMRsEN/xGZ0G6jXCXH9Rv09cacKa5W24yHgDeunF+nDNz+9MI8AgNlWiI
wmGKgmMgtltSKDsCDmoLaTwna1z/sBTOGey29HFl7qRGYjGoO0THnd25xib7buxpvEqr21herJzZ
nl1abONlxatHizqQTLuDeEUZuWFWT0EV4i0XmsnOMEleJIkVa50r5bw5iFUdgZ2BPWTsatKmxGVE
PjX5qOQlZLVfhv0ETFpxP4GjSjkI7vTQYhHkNbD7E/bwOZd/TcelXMZ4tarPmyaAXDMQ3LKu3bz6
rJmTVQzSHzx/S0mMoU4SyEKKDpLK1nSKyov9HgRgn2/7mjVfBoxl6m5Mco3coZXoVLREidBF+plE
38f5y+2/v9aMQHpG8OfRykSjhflOmI1PZ4NmqrRNtRk2wTcTTJNAMAet+3/YsmI55c/OBeAFOmr1
BMvjLPLErMWq1KtQaPTKXX2Mnrq74WlGjQaFbRi++k73rmUHOFXliVfcXgtYlrKZLzaro+ljPg8B
S3LMw6/GdEh5QeQ55WODvKUMxpn4A2CF/RDOZNq3OwW0YckOoGXYG+PFd6uloYUkNvmM5Pn/SLuu
JblxZflFjKAFiVe6NuONZkZ6YYy0Er33/PqbmD3niI3mbexoFfu0E9FFuEKhKiuzQhs+LBl3A9z0
gj41ZmuGc/4nnC6CyeOfoukUxW0uYfLCDFh8/VWHSoESifjyNq2Aj5OiYYPKYHU5dRuZIgVBlDAr
JbGt6AqHyrbM58ubftsIHC/k0gngYNwakYWEhtwhGpE6qKUAAq23NQh4hKEeCzTO9oL+Pzs88nrJ
iqwqe9hJFMlJ4WOJVVM7Kqs3NIXaajh9mXPtvgIJW6WSu7BHu2tOUnupK9G7eNONrL6E8/xxVbUj
wAYIcPvsJivLfRw1gpeiyAT3RhvbfAanHEwo2TepvlJMQUpJ9PtcVFfMRdYNFptMLYUG/Jdo/BN/
bgAhrIMqDk2Q3M2hVj2RF9CzOi1Zrq1c3xFtepKCT3L9/e0AwZmF3LRqIUPGLcVMtbGw2IOmSeL3
oKMv6hI//sH+XpnglkKPLYlSikMExVE7ahbfAro7q2bBg3kz60ZXdrgl6VstBIoWQymD7kvdGx5C
78OYF17cjX5Yjpk9U+NKHttrtbWuZ1LjtUFLlxS9DBRm62tl9wdppvUXsU20CpkJSZJGGTFyNbrJ
M8vNB5RPC/VzdGRnS8j8y8rKaEal1S/MScne2PZekb8GQexdXsTNQGY1udzFvBSdruYyjCgT8cfh
TWlBTBPvR/Rc/YEhkNkC5A10LJCxp6Pp4hDqhWUQO3KbOYveH/X8bpiNhygR9fFs+t2VJW7ewCyN
aLiDpaF2+35x4uTLPIqGs30Dr6zwE0chxJFmiK7R77er0Ce6gPqp20E4ReAwNldoZYhzGKAI6abJ
wHCy0jImD6OLM8ihWktozy0hV4EpaYp/ebG242oLoBiZUR2ineF0tVIlCKUFiDfHuplfmHZP4VuH
FrzKoF5mz1BAwySfCssKG94XcmaoZAC6oijg8zo1O45mOpgFEuxLlqi2aUS7IASlomBwzDFxFyYg
Kjq4u4AGJYCzn1ppFw14UAKHMh6tHQtpqisGPTBQqfkD7ge0aayNcVGANBqRUkW4UIIYiLfZTVUR
UmrDQYKtUAEWi+GogXHgHOQ8KkqVqRHU1+7Sx66/Gn+mN9Sh38rBHq9zd2ydgTjRZItgTOc789Qu
d6QB3F6osTRof25/gDHRJebjBEBFMopuADaA0wWDIWwKAswNirx8iqIqLAje6Rhg69W1g3oTIFq6
nV9LDx/8bsLO2vNtyLiATeCZ2LvyjIFCKsxk6q0wd5T+dVRfCBjsLm/BDQOgOMPmk/EUwg3Nnemw
H5R0bo3aIXlDvKBBK9kEatHdZSvnjhAgS+QyEQNQUOPxnMbTOI+JUZHaWebx0AM/V7fWQ6+BIeSy
nQ1fCEN4O2IsCHbPeNSmZm5SXdFqR4+MI3hRwQGPhNE0+3MSuJI0/zXK4zE00l0fqIKrWGibC3TK
tmRZFbV2hlz1KFqvxtRW0tcaxKRS+Gak96p8U0vu5RFv5DsZ9zv2o2HhOYsA69SFhF0AwHdk1SiY
K2/Br35Xl06BCB9aYM8BkipoJFac+q/ZNY8dOsCQFcBil374RP+6/CVba7z+EM6X5QDkdEhEAG3X
PsbxQzf8lco/L5vYyNSdDpZzYWVa17gnTAz2GCPj8WQdNfCXNXff8xu4tafh6CSMHcJ4Tx6ym/j1
svUNJ4OZpoapWCBXPmPHLpuxK0vKNrH+SNrFBgbQrtKfiSEI/Le8KKrITJCMmDrkyditsQq3IKBT
LQaVaiAY6Rt5n2+YWqmOMvp43T8PN2QvLuxuYHTQL6jLH04NzXx8H98St/0wTmUDxzZ7JrC71iHc
BQdmVdo1O9QunfFVlCXfGCmeHyrCMJAow8Px6KY5q4ZOmYeM8bSi9e56sRM3BdzVRJXIs+wi/Adk
BRsZIGYU8ByEfsg1m9z0hqBTK8pCzpzGlZ3uEM43mc+IUxSv0a8SIUH2+blgTZgaRgl8AhiL2N9X
q5nmaF9swQ7rBBhORJ8zdH4ow/7y3hQZ4cKVoh/nGamezFHlwJ+iK1Uq9ypYLS5b2cB4I4IAwMMA
2hrRGD91UyDRUrdiCjKQ4mAaAFkkbvU6oLf6RferI8iwkxtJlD3mryiAHAjU3hhUH+4Tnv10Ameo
zJlLmiR2/qt9l3K/f8h8676CssJsx1+Nl+VbU9uyCBfHn3ZmFXUIgAgZsO+MCDcFHM+krRyjNbh8
HHtQ4TZB9DjJ9W3fiTiz+NUDUJ/K0CcCigXHHjma0xH2ctRr0xLndkZaP5S1v9qQXutNKNgkZ8sH
fDlcCqDYMuBpMnrPTu3kAZAPdTCBlvat/zW+Q6vEs0BTlL2OvnmM31JfFJedLx2soWCAOiaS/9gz
pwb7cjBmdKxAs2oaZtsk4bdm6g+XN+X55DEbjBUZy4S8LpdBM9sK758MNhpdcYr8JlcnW5m+XjZy
9gxhU7e2wl3uSaU1U7PASnvs3OR+UO36Nnobb3HdAVSezLb1VNwGlq0DfyG4D0QD5FatAd/tFMww
jUxOGtrFPE+7DK22OboGNSI44tsr9ns2uQg+1samqnQYg9adJn9PZkEqQfT77O8rbygb0RyXCX7f
XO675bGRBRG66PfZZK5+34xAjKXX+P1sbmy9vq20wr28FUQWuMNam9NUg5A9s8MyiexJnR5GZRHE
yyxoWz8z+N3GBXV1VkIbl62CVHwdpfGakq9aAhE26PCG0WerZLwxLnAjyQyWFhnGqm6XKJmnkWM9
omlQ2K3HK8Az4sGTQ8S5g4jqiyxLMxhgrtWj7IHDFCD71J7QvcZqgeCcc63veB5a30M3EyQvBMvG
Vw+gvCF17QDbXUw9RF52EIqw2myiLqwaXzGo8i7v9JCtGuhpbVBBXJGIOChpPIbWsh/1DkzZU/l0
eTueRW7cpH6EO6sdX6FlLl90DGwE8jIGYcaBYWZp+MFXDdERkH86yTF0RdtG4JY+yjUru5BgyECa
wM5BcVW05ZFE90VQCY7zphEQcgPlCPYMyt/9w9SbUmbCyAglUWOmjiy3tlZ8MpX/MYUGxeMUCFqq
8a3yWqACptECRSlHDwUJnEAoFnIeTWDnryxwbjWol6hHbxR8uDbWt0kOfqeivyJSNO+VVhFM2uZW
B4WKgv4nKJPwZCMjydQ2nDAcpN0lO+hnJ+vHSHCezp67H5O2ssId5rqhZdYMsEK0zHobIw2cfFNn
SlfQZYkeomBpnNwcq6tSB+lATGm5rxZ1FoQ0HyX8szP3+yv4rsNiGEtd6tnS7UpAmQ7LNfWB90GK
yR+/SF7tVu/hc2LhUchAsdD9Gg+SYPds7tHVJ3ChQdhJAxKIWFuoDBya9C5K20Ma+H9yzFdWuChg
ntLZqhoMtHPDx/EX/QEMha1dlY5xaz0lt1lrmy+fp+NhiwwSGeSHQLSBdjbuOg2C2UyKDBFjSiDh
l6aKM4faZ4EFH0YA08CTGtQ44Ok8vbO1sSNJkzMPNhhoPwETqQpB12kSTOHWGWQaoP81w12qZJEW
1HMxliSR7RpqgRbgRXlX2SoVgTK2TuDaFHel1qEKanDwL9iJ3r4rSXcfdYGg0V9kgjt+0jg3w1Rj
0voil52qGQzbsjpXsOu2ApHVQHhdAqijK1NQslvThRZfdg9GaQ+tXcpV7hA3e6GGX94nHnXTxlYf
L9sWDJCH1HfQzyqNFKZriTy3QXowG+XTJuDwLaqic9jAk4h/d5X5oiEDkYH8kabh16jZlWUlvX12
GLBBkZ+zVFCog0z4dHOXNFBCjcAGXn7fcm16p6JFOp+oUwvcZhs6qIXWASwUbWjsaNwotpRPIo3N
M5YD8O0gT2OBMBAqN3AGnJlOJaXaSwa0N66tI1BACniEGm/y1MFR96LObqE1bnuTuNVB9wFr+s46
YkSJD2WrneIZExiShHko5jxPbxH8FkBiaNqCZhDIs04XqeqN2qwprI3O4E7XCxi6MDptF+3z0JXF
TLrsSrhkj7syDKSCrAhFJRAyxfvpCfBUp3UVZ3hUhYRq514PLSlg50EOBdscWfjToaUkt4yaQDIl
NqXAXZqB2GNj9vu4MpSdJTemIPhg24AfGtI1EMPSdTSkGWy3rsLC2OrlhdawJ4fRY5PnX5uyU9wG
0Y4yIZNY14o9y+i9uHzKNt7nEPZBSkbX8cpAsMjtl6DXAuRNuwh8Wm26N5fbYIa6ReZPNtgBftTP
aPmryqvZZdS9VOAlNw7g2rbJ7R69GisE97DdKdY1e8+YpeDVfJYoxeGDCaTdANTAKHkh60armjEK
J5hwR8+avjCWEROUH9NL3gJFVtxO8My+CD+2PbDfVtmxWa1ls6jmMtAxsonRtDYdgsaWvwsWjkW+
3H7ByCxgDFAFBSSHW7hy1AOLDAMWDkePtW0lbvTEqCpM8CfKr6IOxrPs798z+T97POBqmVMUEXrY
61wLztJmxMqov7pVCwRg5Xwatcbb4466rreFmiiwR26Mt6yyMzdyB7t8s36o1/o+9oVsNOdXNtsq
vwfILVre9LLZhDDYevKv7jrem/v4iOv6EOwXJ7tN9vVT/iQJcahbHvvELvfEseiiZEWHzZId8kfW
gvpjcarbYSfmEhWNkHMxXdCGAUGKws6lCMWucL6FAGJrRYcCinlSoYpSBxsuFHqaSAgjh6+g15s7
3yDn7aK8xOFL5cy8l/Lo0A1y66SymvlABwgeVufPCazfyhq3YXpVLYsEAgcISw3I2EDMN75Po9R4
DIc0/RPPtbLF7ZU26lNjyDGyOV+OeKj5NXkRnO+Nqw7DQZCF8gdoTXhIQEaLuckDOMfk0Bxyb9jX
7uAxccjCEUXd21twZYvbGKAEiYci6rFQyYFBYSIfkHNrJ/udI27x2HSOK2PcxTounUJKkw1Mz34Q
zUaI/y6YOzb9Z74RFUcUXVA/Qgr91P/GNANNs1KzsGT0+snNvWlfeQHU5FLY80SNEJv7fGWOc8WL
XpZWYTaRHU3W2yRrvolcXKu9p7VsC0a26fV/m+I5dcxibOmYwpS+y/F2dSt/gk5e706LU96XLmhZ
vMsWN1drZZA7VfOk94YB9Uk7GEvDBscNKdAP8O9scKdpGesWzFywgTfzlyG0SSDqxNne4athcE42
6YNuVjXsCH2X3UPV+9D7o/vRHPNpBNTHxcUeLYz3CFkxzlRojJSk0JG1aW76s45WBv3h8nxt38Ur
E9x5bY2lGGjzsb8Vn0hP/90Fbe5Q7SiOhTcKYPCtK4PcmY0XEmX5AoMsjJL0l7/DqAWQBVf71T0i
KyxmRd3ceSub7NStgqgqHLOhTmAzrvtHVC0h1SgoEIkscE/M0ZomGrFpNOv4pYE8Qzp+EazU5pXL
5M4YqR9ETriJK+WsJ4FVRuAULm8L7DzFz6lj7oMDYJR+UbilO7rSL134fNkO7FeWuelb8n7SWgLL
nTu4SH+NGGeTXcsEkduEy0T25Wqw1eWJ9W+Iywb/zx79PXJucuW67opCgv3k0EO3gbkpYhu/ko+e
AxFgdCOpyjbob2ucx08ydGCFUfW3X+x3+a73i1sWl4oqs9svCqi3o6QO3VpIKZ1uSylkkgMlLE1+
sPs2Ny8606Rw0Y2ysP/+RlaKHtpbNwzMgUAEqXyV8uRYTWd1sYlcuD3pJIVQdyw5RZFIx6mYRg9x
uQhTfNYzwpyYhk43ADmhLgss5+koy7iqZ/AKotETQs3Wg9rjZd/eGflzqSgOjehXWa12lVbfV2rr
6s0ROXzBpbA15PUXcD4uJdD2NCi+gEjXoaR6avmWkIdpELWMs8v5JFZA05TGQGCQJISU7kftbeVm
1LQa07kwfukQ/MiP3X70gUjci9ijzj0oWqfQKmDggYGdc6Y2G0x1WyvDUCOJsGh+VhaGE8nkTQqm
XWdCgnCMv0Vm+5gF1UPcLt/qRurtJioPwWC9ZapIl/P8dALuBwAR8hrYUToAFKfrG6YNYGdWj89x
FB+MPsD5XVGnYyrkLmTBJ1MQRpxvqFOD/PNRsobAik0YnCDRAywYOzXo+fOGxfuHDWRnATRnkYtc
hjaVqpQNESsLjBTwbpWHrkkLZT0xi+PZbuWMcSFMkpgSOCOxvKjtIMgcr6f0odY1KOOIspbCmeSO
5thYVTAZGFcH3cdEczvDY9ex7hJqa0DxUcTsooSG0Ch3GossXrKKfhgd0Z2Jx3jtAUh4w5jX0ycF
HCrO5ZvzvECFGUWO2QA0Ekhy9Gqc7tBK1ao0N4YKuj/jggZYNKI+Zm4JnmkP+5MxQgGVORV4EoEM
FB2wg1u/Cj6BLdqpazj9BO6Q1NOAIxrgE0ZHuhtLoPUdprTZOnltM49PUcPVHclrXQM6elAOU4Bq
+QM9YChVr6eCPzstCFFSIxoru4m/qFr2nBhfygKIlsvDPYuGOCvceRlDQ0oGCaNV9W4XUHO3CMIt
7oxAhYDh0RSkA8C8A5pHbjo7pZ/ykKQEIuzHWc92cZc49dDvQqEUkcAS3083NzBvMkuAHCHGcZZn
+j1BI/r3eJcfutvMsJUvoWIXN6J7moVzqx3DD1Hj5nAK43jQUxgmwejmOvkaJLKTLYlgZ4rMcN7G
VEcygy0NT4sscrNkvJqS4Lajwg4ZLid9NhzO1UhzHVWthuEwCoryONyr2PwMVGsYdosHFDt71Y3+
2N0QQZWOD7M+TBNEDQD2oRKPSurp8bfAAYHemLSyF2o31+Uty2/GP8Md8CE7Jgo/PMh7kZfjTgCz
if5zJpkOWK2GvoFTm0ET1nOpoLCpRIXdFI3dlY+Xzxj7BW5/nFjgnBrUV9NBbTLLmeb7Vl5sY2zt
SgPtO0Qc40q0fipLsPHmUIAGGw5Tgjc+XsWr2IbMVG7mebbAaV5mdil56SO1CVjODsPVcIyfq1uQ
mgPB272glVpci9o4hpAGQajMGGWBReFG22a1qoWpYjnG0+yVt7ilbnJHfTYfJpBtoxp1cKWD6N7Y
WkNw+YFmD/U2MO5xa5iMI1FQVKjsFkxHZQSkuYi2n0djfWyTtQluWJ1pAKOBsiioF9mFgNY+bzrE
XuQW++TFsoO99FCC4ai+0p4v7x6+J/7MMudB+6IItTHHhHZAYOs3+oP+yADFugd6BvTje5VXQxAD
t5LDGDdEzm17Of83tXyxbzCUMA8SWNfz0K7L5z5/osuXMhClIze8Gwo1KGlYBp7MkCo5PYaqNvbN
ADZiu0unwYvwznmgeRN4cxqKoA18XPP3jP62xdfp67xoZKBrMKM+2c0eQ/YO6MUHLdhOv652n4S8
/Mcc6ODRbMNaT9juXR3ILNTgYwLc5EYkO8UIUKpSouCnCYKnzZXCU0NFdUhF1Ys7BBqYWXCX65ZT
pIO/1HfohNr33V4ZcoGhraUCHwSqlrjX0aHEGSLgjcqaBP4slCt3rFWvlK4s2bu87bdGgxZ/Xdfx
8AXUhZs0IzUxl7liOgW9y7MXEqU2bd7rTnTlcA+Gj8VhmAY4KmSOz8jDZgM2lBCuY4AcmWnZ8TG4
NnZgFFZR+/xkTygzxhJCgASg8Q8FSu5q1brRnGKrrex4lsNdqes/u1HDsVLHNwLaJ//yFJ6vE3YC
ulQUUCijVMjDkaQBOjBNBYSelSeo9Ly1puHq4+D+iRWm+mwoYGnWuIXqFDSNNbUJ+VUlcqyxfAeB
LTQkhh+XzbCfOb3VMBi8omXW6qMCcn16iIwyyAtNAt2uqiO9VMkg7db1T9ausD6nRjgnXw4azSYT
YwkzcMhPcu5IC9JoIJmYGhEkUDQgzuGNZQ2i0xgDqhPtSQlMdzFFju78DGE4jOEUrPU4pzyZQBio
MQp9RW2rndy9d1rY74e5TTrIxGUT2k6zAE34l5dpI4QDpABYStYMQs87kOd0tBqzkCQ0ndGn5DlE
Fw+COOopu+S9e6lYek7IH7ax0U9scnsDG6JfpC6QHMN4hGKPo2nPvZg3li0+twNPrHCbQ8kbsPI3
zApU6ZrnJbCDl/yoWh6Kmu1Ns599CMRU+7RzkgmKnaIc5PYgkUNiLaGQ2mJ/X90ig5yYrZkuta0Z
kD8KJaN16jy6liRLBJ84DyAZKgT9z2hyha/iSXgozpouVVhCRsqEy/GoH2af+PKVaEh8QoqdtxNL
3JROUQ2Y9xSGrvlUxTajS8uh9Du+UdZ9Keyv4dNxZ+a4I1cOdFErGQML39Vf8zvrj4dm1TViJ/MY
Ojo6BUWw7/MTCGEDXPxoImKPT8pZjJHNAJAqBXtXDhiD8j2iP2K1hfzf++Vjd+5M1nZAcXu6OZqo
n8EEq8UuNSpv0Oc72tC3z5o4dSbc87MKu84qUlAkh6bpGkALkeLTcQWzAFpiC7sOakichYEWqYyc
R+CkOS6tPk2rXSAPOFPWr8tDOV+VU0PcNUzGrpDHTMfFCGo9py5Uxe41kjuNbBV2PyimwClu2cPb
QQFhESBXIC86XR1Tjox8lnGtWHl3X2ngN6NqZziW4pVN0P7BLJpo1lQRIEGCgieq6UHaK4NVSHIW
2pWQFZihY0ecILBmgaHzPUeYcqZFNFz6CNDYqFcOCf+TJnIgBQ74Gw+xLvtVrPzBnlub4Bw70Dm0
kClMJJN0V2u+MUePl7eCaBDc0qgzlVJFjSQnKTUZjHfJs1ZVh39ng3MCzTzQOl9CyemaxDNJf5ua
6Gr9Vzb4Z5ocA+FslbBRg/8U3Trag9VGgp79zW38e8H5/uMkpEtosnEYubGLjcKue+mhs7xcJF0u
WBSDcwQKHoKxWsPQWPbPRkIgiAatO/dPZkxXKWUOR+Er9kbVhTHkDiSHdI1mK3F8SCoodV02snFp
M1Tn/4ywka7OSFQaeW4lMNI05RtRQldqq/e6/iTT80fcujbDxQZMIVGr8qm2A0N9SZLF77JBsIk3
RwJUrIzMPLrAP5gVViMp8pCSMpNRgJhKt1y+UKvea2TwPz9fLLphLeAKggPuqBRLO2QgIpQcagZ2
FS4A1ABpqKcC17WRAYA3/m2HzxWDBJy0rdJ+lFNKG2Ch1jGgT97ZquJGrc2qDIyWohKcUh6R8rFQ
QBiD7IA134Li63Q/QMSyRPsyFiolSgfpXMmYF1spFqmwVSMavle9lZqgeEO5x9YLEKGDjaPZ5a0E
fhYtI40l+KDzk3YaN3Cp65rO5tJBRAL7MvLHuP4WDsbr5SXdNEGhUYEnoqmgo/p0yG2T9P3QygiB
smKnDcGd2cyCXbPx6ECYitI1Hh5IAeKBeGoDeMMU9Gxj7Ma/CCq65n7+md1FfusTm0ZgLyZ7JB4/
CWDCWp4a5aKI0YoLFS93MKaAl7kzn4f8k+3Ff+8WsJSwdnCmVMKtzgx1rrhrIngNg9zHunQTld7l
xdlIa+IgrExwM7fQaqmCOg5drbgrMG+QwxjujFfroN+hstjc0pvo1gJ29FqPPCik7C+b33Iqa+vc
FBpS20pZMtd2DzCii0K94eSzbtphk4pc5PaRX42Uc8WpNZNhmTGZg3mof/UvrDmHVaO19nF0VVf8
YNt63ZzMLeeVZwRNkHiGxdGJb2sUM6Yr8vyjPJRu9i0SPNrYKTp7nIJhCdgUYEchfH96AvQiLZLO
wEy2yvOsRfKVQQYI7+GfradGewyjfN5dXrzzg43HmwwagQ/pdMq3HFXmFDbgm6vtOZBdpV50hE+m
KMjceLOdnjJu2ayWdu1k4pQBR1za5ccjMbQfO7tFdRgNCmJNOnbHnE4lLFosjcp4nsDgcTqVXdgQ
FKEgxC0fY8hxdfv80B9SvxUwdZxPH9KA4Fr+UIJRzzSUUZGazE6VChcN5ZCaUeveJS0RXHTn2wJG
8JSXrQ/KI56MPLbKoUwtC+9C8kMmN2nZ2jFoCWv9fWwE4zk/y8wUS9giKYwAgTvLSbPkpTxjoWp6
G2eJPeaWTUUZg621Ac8cGo+A34EQHffmQCkkK+k4xK6+aw6MXF3bAUoixNFtrs3KDHdnSTmWS4Om
uVt3S/5iyDM5KjoVRSHbVtClineaCUQOd2arITagQ2XG7jJaYNoegr01xL8uH9INB49lQU/Tf41w
MxYFwSQPA4aCZM4LsH9G5Gpvhh8fIZeHJpJfAYKdEQCZ2J6+ZD9F/RXs1/mzhOsLWkfwFDLklk7P
ktmmWEa2XvKiu2EY2738ZMo7S3m8PMyNqcS1zxp+wVZtIgw4tTPpVp1a4DN1TbJLStai+AcGWF0a
nSIgSkM69dRAkVs64i8MJOlHu6i9WhJp7bDQj5sqY2WB75uQtFSOtR4WygVlCG1S3bCI9uZsuEWq
vVQ6aJX71v38tAH9BlonU9dYvH06KloFsoWaROzmpuy0/fNM/vp3Bjin0E1FktISgzLaQvGkcs7d
Ka0X/99ZYbtj9Tapm4im0cfU0deQPJeAX1w2sFGDRapyNVHc/ioR3Ea1inGMxxasNrUD7dysR6iZ
+ZH7Y5kdxPLXeeQpvxpik72YuH7rHgSZE+SkUfZSwbvAjZFl7Fuq4wt0wx69oAYmI/QoMFERsbv3
ZM80F0S13624GrxOSFspEDJF9M4dXygRTqNSxRWUs63IkZ1+YR1ZfupkuQcCbrt7zN12EZbJ2Fj4
o7A2y72Smiw1JxKDi5CaIHO2MjsoDoIFZRuPN8GYD6ERyWSD+NsqznAgugCXfOMqvvU+3gDbGzA2
NdZYilFOzudxJngwIBWAGgKlBtqRTjfp3OdIDFLcj8YsuXX5qCmhd3lQWx5kbYFz9RS8WGiJHEq3
b7/M3e3Upc4yxXZrIP1XFc4Q7y7b23jNMpoqXPcoZkKelef3RCm7azU9LnEbk2O+D70cbHTJo8qa
jkULxlwRv2BoqwCKDJVMBtQ5nb68y1qjhv4SgmkZehFMsG66MlGxh7QCLk/B0LZ2IMvWQsEXGGGw
zZ9aWzTI5CHSKd2OjM+Y1Lcs+Hy2Gxz2KxPcapGCdpOlN5mLktmuwzpVsuwucyVwXexLuXkzZdRL
VfREoZLNb3SjtEDD2OqpG82+pqd2EGgg2EwFW29jvhjmB2uD9zdU6bnBlOPYzuiOQ9YEUndV/1Od
f13ea5vDWBngPNFUN2aVxwXa4armmMz5EQz1UiTAKm45WcQoyJ2DDhUlzI9rYHWRtKjeBwo0KF2I
JkBtmPqJLz2S+86W3zSg3rralv66PK7NiaOgrYX4NSzzOVXTXBp9WaLKTaB7VAaZF1qB4JG95cWR
eEFtHqE5yg8ydwlLWS/RLKpKePFOOqoO9ZU9uSd3UIO4jhZPdnM/9A338sC2FgyhEqPPAyQFkp2n
JwhlNnlCUJi4MlJZi3lTqkDSGoKy18ajHrcSxeuGQTcgGcKmd7VgodlHlM6wMjtx7UTBx/MwcmPc
ilfRvrvJHJE6xPZsrkxyA4upZSCogcmstBVfcxkKy3Ct58FJQPnuMM0lVJba7yKA1ObmhKMFrg7V
MTB8cyHoOCeKFjdR7XZuYNjxXtnnTuA3YP7U0FUku9FR5AXZqeV9x8oiH5KqRjMkkhHmrgnxwKoc
kZcp7IFAZg0KiZe3y/8zOry8FUsBisTk7nzcXWOfxHqCu6R9mQ5YTLdDX3t5aA9sUsVYnK2TBygO
nvioVOFa4U7FtIymBZcCDcglus7L1hs6VcDuwFbkbP407EsDJQYZvSanu3NiKg8AF+X/ea1KXu9L
u9wX3o1bZ81CZpUB6DQGjzm1A32moYkHDXj8L4s/e8OhusMb3ABLhglSHdzGYG/1u1G0ZBsxlLk2
y81gZ5QL2KNhdnSi5ymw+x2+AES49KaCmKs97yPBrbx59gABQrUGvhK9KtzZ66WI0RXCPzNocjAd
QrTuBP4AyTM0+SagrLIUKAE6ojh4ax3BYgwXythBLP5a0CUjaboF/Q6aDtUea/LkEfLcHeTGrNIN
mwHNq112LITqS+dADHDggoIJLKegsYBm7+m61to4tc0yZW52YC0Iyp4BMRQvER70zdMHW8iqoLsN
cH3+9CHUkYcES9n5w1t3DUjfQwjE9+RoFpSQU7dwRJDdzT0L0DXIsizEdPzFFw8os4+1gfsB/ZCQ
VOn6g5BkXGSDOxexpAK1kCnQFEmO4wCBDL21FzSDX3Zd21YsIAhRtEJnFbdK6RxnWRp28MsEndJG
R/4ikemZSpwIrlR1yxKFiDFSRViqs+2fkjpOZGuENADICwlaUH71UELQ383eYSrWgHveBF+pEx/M
47QD4EQ3vCWF+4Rqo5DBYst9rr+Fi/iiWYmpHmHHLEPnGXMGBWfz9fLEbuWuTKAXsf2BYWMIw9P9
H+QpYMHxh4NRmVK75HaKU+2NR8ObnHGwQVTg9B0AZe2VIdnG82XzW7ff2jpbjVVsEQ+JIQ+Sihsp
aRzFqHxl0FGP/FYJk9x82xMrJUHTCvcQy50yqOapKRO1epAqLZU7KCAEWaChW94syC2o94xuZXHM
I/D6st8ecn98TRwRSunjguAvqrV97vhDZsWCoxkqV93Bk1+jNdAFd8Khv2WUx50t3Uye1tgLKkD9
XeVku1LYhbGxtRmfDRDSiL6BlOK2UwG6R0sZQZmT1TcBvZaSp6QWBYvsuHOjZKgiFNKQQpFBj306
y0uVBd0QAIyl7zS/cJcrrcbstm60b3aqJuSt2tg/J+a4/QOGbjIaapa46mA6tFZcDQo6tP1WN18v
b1Se1JRtH0TZeOSB9QJZcR7yY2XwoZT50uQAXJYbehq6O5VX0GzoT8TW/dxH31Xl5t8v291wARZD
aOPVokPog0/udr0+JGAyQYtOcT9klae2ogz51r0EE3AC+Ac4In/hk7wE9zyLCsH+lQH1GN2Ut/1u
2KfXWevLwVH1Ic7gS/7lgW1U7iwLFlFvBMJdg0bC6U6pujztqRrWbjAkOyVFQ3ncXkeW5tXaz77T
7VCebtRK8rRS241BaQ+tSJl36zww6kWwVBNcyjxwcAlGgxRlVrs5fYr6Q0VkjF80zPMFBJE6e6Eh
sNnQaLDqKNU1Av/6kQSD0EVoT4UdHCSIBZlHNdjlbrETNnmdRzWMvh0Ectiw6L7m+WOlkgAF3+EB
9V8FpvBAd4whQFRd3hzeyhB3McthPhrSiAOokA4CWbkLCPnLp3fKBxe9BroeABCQXzndKXGqLwMx
MBjaOQBuuLoXes0rGM7pbtpVO9GLbHNIFBE+hM6xL/mNqZPA0NqeRaLl4JjBaFe1gJ91I6mHEa1M
cHdBESpAKOasufemOSh76bGU7MkxjppX7BphX/O5T6YyZg0+C88kkKdw1rpUlupywBq1TDqe2PkD
40mccfDs7h/ov54fK6Zmyp5diDo1bL/T5apU8ImElQpJxdjYyVXuoUr5A5MqgsGf+/5TO+zvq9hB
zRdolUAA1k31SrI1Or2HtHbmTjH9VB8F5/j8eQJjkD/XWWc/Cq/cHFZJBBEKbWavou5QoyjK2AzE
e485vdPrE2aQsQQ7FZRgkck+HVNaDWOR9X3uxmCXbhrL0+lbQ44lqlQSKXaXD9bWQhEQiIGwgCHR
eQhgasU5DXujcoN53zahDVp3q67tzxthnTEIuVDcQc3/dETZXGUdzXBvtk3q6j163IPA7oQM07zq
EO5nPHTAsghvp7LGTM4RxV2pxuaCzE3wDZ1f8V53xhkd7tFzuNf2kmMiBvHUuzzcpYfFS2wwFajX
qZDUaeP1fPoZzLmsNqVERwUAa3wGa2AYXxQ3/TaAoGUAn5+EjqfMi/3y9fIMbyTogAXAgWPILGRA
eACCPNC+tOQlccvZDh9jSNonfnwzOAWxwYX7D3pBNk6eqSKMZtT5SNyb7LCsBmlkOtpPZ6TVCUHD
HbZMUX/Pa7DxjgLEzYYrBtszjhzTRUbeijPUkV6q9RkFiZhiRv+PtCvtjRtXtr9IgPblq5bebLd3
O8kXwXFi7btELb/+Hfq+O1azeZszGQxmECDAVBdVLBaLp85B5Vpqotk0TnJcm2D7bwYxIsOSWlQ/
t/WTDjYdyoEAnRoq4SsWLBQ49HkwrFZugupKhGcrwBHqOAAnALisZtEoNKegQ7sNWmNISBhkAZTz
9POUYWFnVWEmvnLbveiUUuLRwmwQ1U0C9msT+aKeESc5nhhkgr4IG6PoAbj2kwHTufONOhzrMLue
AGqTHB0fzvCcOhKEPU0cTKo8McocMyqKRzPDMLsf9m/G8EjkxdOlW4ls1f5bl8X+5U3GuT6eLipz
2hS6GmVgcvjP2xhwMWhC4O7vh759jRE5kA6DEinysyfVB8v8rR259o+kF+RSTvRgXBM6obRNhpdi
xuXebJTaMNLYH0Ztv+jRG946d5f95JTlSNVgh5ZNvJtRovXT4InHuIFqpgP2g8St3mjLo/qtPFDJ
NhC6igF8PJccVKqYP0WNfNb2k3uz1UMLT+5xWnj5iMF90aw+16OVic9Z/tWeG+opNzUJJnp/yHEy
LDvT1+6TJ6ppiclAwQIKHPqMo5U1E3O7EhSGEn9qsqvUGoLZEapan+UsgM0odA6rRlFg7DO3FTVR
PtodsoiDU0aH7OMuBWCgDqzRB3XK35jqol30k832aREAN9TD9HWL6bLLJcrLGdpTPtmML5QFDPON
Aa4vbhqIbhTn34vawnM3ZOYw/IJh7tMIlNBAyKKlSvy83ZdPik8H1tSned4YB2DGxRNrZ6cZY49+
0dUXq82iHw0F9pKX6gUo9WO5AZD6qBRush/AxDFtyY/6RhQnLI0cFV6DmxiGRVUJUBLbKYkk8D6W
OcUq4BtmoBZ4qffQygXNMFTdHyBzN0MoBaSkExTM/vGMNGwDmIEMCY09FGXMKFtl0htVDNt9IntJ
9FFDC8sIocohUoE7B/VQS3ToGw0GjICwtJpLlVYKtO3+kzZvlvdlowaKO/2kp2xyQ9OK8VIeZvdD
9J5wVtxSw58phY5T4N339KumtdJZ5VSgzNPJDoPpnp6Cij4UZheeHYihUmk2B/h7tsdOeRShCZAi
Wr+Ve8W3rvBo6EZgUqLsbX6LDfIHVQR8A/EhOplUhAZKY6e+TXId1YMK35zG8Vvrvgl17/IxwPVq
ZYHZE06eGBlGjHG4jrLqhvJ4a0v5rtHkSmDo/Cr86Qu6FCjbNVSVjKVlLqTF7musH5RSsiC+TbbS
j8UzN/EhXATnJ9+rL1v079c7Hfo0ZLaxbp1TPUspiL1y504FDEXglMgOUyuQRem6fIBPc/1LcX4k
de3aoEa6/InOrxp05dCUBGIDrE/g/T31pkizxiw6lHlUNVL3Sh/kWdFv7Qg6SMVv0MZGD9lyMxFa
nOvcl1mW2EPNSC5htiiBWvPTUjaeZb9qkmj38nKyAeQYjhVKo8fOKHUKIDUkpGeANnpL+BxmiWv1
2qZvfl9eRZoG2INtZYgdUmo1NYnVEIFeh6ir0KncxjPm6SP6yGnk95pdP1w2eFYf4KvR+T7Kh67p
FvsMYZhDiRlfeNbNP/TyIZEfL///z2+DjAHmwm23GVDiABT6JXqmPlBc26UH7E7bmhUuNcWtmP2c
6xJ602CnABgFGLXTQNTnvhn0CSVP1QJKmAUFLF926uyCQX1aWVBPLZSGio6BgREqoip5utPtqm8f
DC0tFdicHSuYq7DUH2YSEwnhjz6Evi1jOc42l38H11PsN2w80GdhJvf0d/RNHutzjXNTn+eXqDVu
pj4RVXe8/YUexl82mIRYmPnSqVGLUR0NNNvTfT0+L4sANMH3AwGIKUAqUcEcjlm/GCTCSJKfWj+t
5HtSiz4YN60DLf6XBSYKK9I3VYqHRVyrs4cCQ0D5lemCeOjhbyBoz5rdNDpWtphEKIWS3UVZD2+g
XQLGBigLUGEWVcilwPs0yEd0ahLDsFC+OP38jt6asTFCp6lJDwtITesSgpcfl0Ps/PYOb9ZGmMMj
iZe0hxZU9flg0LmAIF91eI2ZoK2xvBW+5IuGZEReMcGQ1sRqpQyfqlB0X61+mnMZoG0nOBN5IYeR
TBRi2DuA/jElZ11a5qg12MJadFcvutcvTvAHK2eplN4AV1hMKjB5SOrmsZnB9wKmi8lX/LFxyU7b
hsh61TVlDy63091lk1ynVhaZvATstpM0Mpwy5j4Yo8qrWknQAuPm87VXTM5JochdOhSUS+8JlCZQ
ey28HmIk+iby4oMuaIjxomFtjkk/8dCko13heO8t4key/nvR69fanAVmuAf8KqMzXumNOnVVNuHe
332LrfigzMlGB5Kq1URDiTyH1mcH49CSLkqoT7AkK5OyyUj0kCtOuVHrXvCleMGwNkR/yKq6VMyJ
LKODkx1vtG6ef+ucH5ejTeQJkxmkVJPAhEvzHKS7M93Xix+hKaqRufG2doNJB5U1RHZLzx/z3t5G
V5QZNvN0F/NLsp8h/Yjuotz7/togc1SYdjw4SYn8A1Kh9zkowScMjA+NcNUHGlj0vMdfRfDfmugr
OxhnPv1Msda2ozJiFSu9AsjSdpXhZ6f+vPypuMU5KK//ssJkBnC34erWKjQX2ffapgjA8Et2uktA
BE22zdPfYlDnRiAepxwVFSaGK5mVJFGldk2FlVzeiS99izG9Unjv7cdCpSYPYpUyvj0DVDKUEe8M
wT/GVV4qBbpCUqK7eXaTyK+CZaRp4Kw8R5/rvxaYkNeMPhvNCRZaf/io9/OP5YqyQQIzR6VR/wZi
9bPff8kiE/7E0jstJEi38gEAFogGKVsJL+f4kPvLvnFr2pVrzMdahnQ25xiuyQeAAA5k1wZg7hKO
WXLrCYzg/LWETHWkGL0x5Cbynzp7ih7UkLyZdsqD0bnje2668jVl7a4E8S+IDPaSWJW1kmshOpTT
8KhBkWYZc//y8nG38Zdb7GR0GnU5+P2wwdoYt45UT27RJ7ly2khwxHMPqpUdZiPPndKjSY3LDRy6
15aruXPcXCsOg9kKKiSRJeZItDI5k/sOiEY7tQOz0b+1ZeiTxvI7qxDMEYs+D/371VGVYsAEpAeI
vW5Z3LZ5NxvBBYPny7qKYM7CMNVxEGrYRVqzU8KrsrxN4zTIFVEUqHQ7stt1bYhJEFW06EVV55VP
3qM3enxg+BoiNHj1oq1UzJptrGC5sgL7NrqjhPjQKDoCBfOovjq+iOhB9FuY1CEZRjSr6gisdtPj
Iuzki+zJoWU/olrN9+ZYkntDz/MpuLwT+GsN2ks8DaE1rzNxo1pzYpklgdmW5Jt+yOQ92roYWZzi
+lcEHlYRbooXPUAQAqhtU1IqtmdS5OmSDMmc+qS0d/M4R/5clCKaSG7neG2FOadLW+kBd0UIUSTh
gknqRykoAnBFSpQff1v5Daikn/Nt7wGVEW1E2OlzwB/uYXjfBiEmnsHADMJeWBayJA3Iqj4Pgula
8XNfUgKS39CB0BnyMpAWL01cKoSgf15qW1tmPE9Hs58TAsuKc1iqytfkpyx2BPnzHPjL+MckNhk6
NlEc4RG/vK6vJx+sBcDN4KJeB9ohf+i38VGhnPt41BQ190T+MQGbq2OhFjPwCtIg30hWcq1Z9bca
xKmX9wX35FuvI5PlTKcv6yHr8d2KOSg04hX9sBkqsrMcsIWAt7vLQ1eLkGAXgMo6Y5sPxqZsf1hZ
JDjruZlhFUtMOuztSFc6FV80bMx91pFjNSz3QwIIso4lj/Vnged0Bc+y4soekxUjPWr1SIbnQHwB
yhAsO0oOOnk1CKzNK9Qy/3apmdSHTrQTJu3nZiF7NQNbtpf9rl/bQN0oN8pvuXehi6iIpgLoB7zk
JlNCJWal26UDYKBpDfvObjx1Eb37c5PraiXZ6ikLM7nosJLyHOEpd3LJpPtV6bgQuHL/3Vdj8yrm
YZUkW+AO2WSLN11TZn4HJxgBqtKlnZ8/unqtdgj7rGsnmWVWGHrzJ4w0mV66KUhAgIXXgnprfO9E
HI3c74VhFAAYQNKMIb7TsiMii04yBQ7Ww+xhGM0t21C0iCIbTOgPQ5UoU4NjQ91aAPcHCg39+/md
BK3bbMpDeSM6KUQWmdjvJ4gtGSbSWVaFLqh0kFJEzIPcKFwtHBPovZTp5UznIcHAhWM9DpbqRW4B
V05Eel/c3LyyxMS7TVq9GWnh1uogLCnBq+Rg4DhKd5djXbBm7P0gC+OhLgo41FipZ4D5xfzHrGv0
ePtyhL0fEBNSkXVu1niD+7CGZ10T5ViRC8z5CQWGKUoLCZft2+qle4OmbYBy3VOAOnzH/Bgk6M3g
3y0ac262ZpZZUodvM0h3FcG6gabisgVBnLEEGPMsd2ZYYdGsDIx99rXZ/jSzzh+n3//ODo3C1f2D
4CCuzakD6G4erpUaTFpUPDcqlKcqXDqBU6IPxWSESZrCbMqwPxvzqc5CN9FENze+BVMGESzlbWRn
Q0qlV8CgSUvVRnNHWNLCl8sLRhfk7KSjHMcg3tHABcZ8eiskpWHTo2Ex3ut0UyWYFRaOKoiMUDdX
X8UazC4eMf72iRMfH6zNGCz+uG289mfnz1BM96vH+PmyY/wibeUZEwqJ1Nl5r2PNwucxQJG9ARNt
79qKK2UuhYdUG2k/19vLVrn12MooExJq0VtmC94c31ZnXyLH2e68qjbcVpX9tnn4d8aY86EZxlGR
6Py8mYXBoIFjTTPvUA/6YSndF0b0L0OFOSuGBjzVklSlfkSkHxBv/A5lEwuUVLVgiOF8UvIzw37F
JHNUWNaoTDrEEvEwob2bz/ZNi67tf2IGUCb6UlFtyZUMkk1Xf49fOnRbgVTws43jC0t9aut/7w8M
bp6GrhzpdaQR/Ba12E7fzMOwjVE6VddhjLcfCwAyyBsN1+Zu3mmuaLLv8rbBhN2p7RkzWqrc1YBf
I7k49rtWJzsn+3k5iLhdclB//H8GgMLFqZUS712F4WCfdFA6jb0GT4Ly6CYeHVaWd2CgFtjj5TRQ
PuhQigHKEEQdp/bU2Qpj0oPoRt8qidvfpn7hNX56zI/oJWMmdBRPnvN2JcaxYBG6MWAoYCJXSkKH
SAtabWTjvC9+/G16SgIJsMYEesK5WzzRGlj5FR9EtEHcbj3QC8CzA00FNCqThCLb7AtCnyCyl+Q4
+VRd2A0h4ISu9lt+JMdiI30vXi+vMC9sYMkE5tWiyhGMt/aQ5lOcgOi3CI/VeJ9DXvhPXnYxM42J
RQcSrqBsO/2GeV1LjZnO6MLBlpsDDLAZBlUKDJ0IcVw0/tgduLbFxCc0ce1JUSlP0f0YWJ/cd+Ap
OtIOwt+4uNAEfW4NqEn8g8cOk8k9sTK3UkPwwSgrkgoV3LJ0e+hsUsIszAFBAyvCMONh+IOyFdwg
/zVrMWlmABNDp0FR1I8asJ5oYDMWVfrcbYcSArBQShHAfrKii6O+nGRQHkxgyxqWHvLMY76/HHrn
YHakbrCb4P0LUto2aLhOA6NeUggM0d5aB4ktY9M+apUrgVuiugGLdoAxgW2FkXayLe7SYHbTZ1El
y4t9B0q4mD4Chh/6aaf2zTKZB4tWsmSZXIeMv22S3RIyiRoE3I0NXmToAKFTCZwrc9BHAHdFqQJD
n9P80KDqFz+nnCeLB0oeH4PtyWPuERGGh/cV12aZI19rcwzrUOazQa+2xrhc6WPyJPiGvA23tsHk
D8uoppkQdL5Hr3rpMUUYbscDhRCnfgleZioKjbxJu3i9l9/bV2LhDe5X1GneVKGVgs94+hXDcLTa
vEG/G9qMvg4g1DKZ20jEiM9dS6QwyM5B6xtCCKdWjBaUVFJp4ZGRpHhFfbNyZXN5KUUWmJVsazsx
ax1fqy4Mt1zAfysa3FB5+Qo3AyANKY8SBllPnSBdm+iRjdO7vO734ct40/wGxX8Q3oKODAq6KJWe
ixsrcO5nRCVydSVDK6vdj00gCQVgue5+/Rb27g01yzap6W2FxJiwTlJPNofnyysqcJe9fBezNklZ
CxMgs/e0+PtcF+C0B5kwGb3Llrht+tXKOsy502ntHGYlVtZRIGcZ4fkH+OvkB0ZbCxesLkYN3BRV
kI2M7SBK1twNQIsySK9CFFFjvmpry1OhSLC9WM9G/B1nLTQOBO+PfBuARlOGOWwAZpPFBhVd0mBD
afzOGN1hfrTVN8EicnMJbpX/NcKkyUIvdaUscPMboQYMyKi7XNmghpo3n41AwelDtxN7dmMa4C9j
zIYex6izBw2Jy4iS2ZvzMHXTsD90Lf5QyNPO1KoXMBUInjy57x1rs8wuj1N9mJQE7x0UR0V9pLwb
6SOmLZKt/khxGbIr/1QktwlExTv16MxjPMBjfIaOfNhMjMolhYlauAECxejKzVs/74m2sZMrQxWp
H3A398oUc7IrI35DShtrlZZ6S11vmlpULXMiEgwqlJcchHcYH2GivjZC05okjA2jUXhd1dG+a8ZA
ztTXy0HJ8WRt5uz9bQiVqpNLsPYp8kE2s5s87kUbmFcIgfqJNmhtMDdiiPg0L2tyH1ag7m4xiG97
IJk7jkFypWxMVAoh6FmocDt9BbNvs7vuLoEY9mUfefUJuHdATIgaloIimb1QLVKb1z1oA0dvDHp0
D10EyXHCPGHr6rtu3/wNuPYneJ4JR8yO4SCyKQXBGQPjaC1zZNcxaGUD2bM2gwnOOajHd2/Lp9iq
eqdts7sSJ08KzXr1FlRcuLSD7OiOgDQAaJGNiO+PkxHWP4j91LE5LlIzgoHEcRIMahfFe5rOnd+Z
BbmDWBt4iEI51dy+iSdBVuAF2WopPuNj1fICQtlulAJLsRjySykZbtVYAhN853QVlFKYsjdZrHVj
SZRcJW38Snb2ZTz9hO7Oxqjj76m6dJ7jAJ0f2dLD5cDi+gXiOOj1ggb3bEIw1OPGLiJQPsRKC4Db
R4n5icsWODkNHIJfFpgjY5z1QVcWkvv2WLqA2rs9dqdTA6dFjuA+FVjj5Zy1NWafzOHYGtOEtDbX
7zYqtLLJXDsiAiu8YuLEKeaMqNM2ij+l5PQtue7kG9nTCg/xp+ysID5WutfKuwGClQcxwaDIw7Os
Ki3W2Np4pFIOFii4YoO4dR35l78ab+pw5SHOo9OE1+BWkrYKmEdmTPvlm+lbDybPHR6hGxyDkxfd
YYQ07a9pGfpHleeJcebaB9GkXnYqfMUhidy0O46hKkiodJXY1Aa2JDDLgn6Ejo+eutfZSpM00SfD
pbYB7wMovaRtK6SI4XXjMCRNqYtAuaBigvPUjibh6JImsPrE++5FDZqtepfjTjlf/x3pTd5WQ4mL
cRPwmYAVhAmNyZlVex5AsdeoGOFRSlfSdmApdVP7OGvB5QDhJA4M8IBmGh0j/PfzwFolxFqNW3le
JDxmxlV2Y7YF2UldKYJt8a0gHRqg64A4DbN8ehNVjq6GmW/nH8DvBVXRCAKBcwOh9GOQZUXVBYYK
xoKjlm1tyfCjL54MtQxmqcC77LcqbjaXF4yXM04sUV9XKyaFOriC7KL0tdvihWAzYfzzhxVMh9HX
0J0FH8A2EWpechdw5R5TtxhTgsNGg3tz2btT/ZG1r5fd4sTciVdMeh9K24mkxs78pVKDtJi8gjyA
OuyqyJ5J/nLZluhbMZtWGREO8KcBoutIch0UAC/lbIKEX6Ctx3trOnGKSe+gXJLmRTYouy/IWY7j
cww2+vARjMagxShuQ0/0LvGZB5h8BOwYuNuoKjn4fJgwtNvCbtvIwmzm7A4f+S9ns4D5L0JXW7sZ
wAiToNUWupgwB6asevoP3Ep0++DdfE5+BBOhS5iXLeReQE9eocxLHrpj5xLoC6jAl0je++IVWIHv
/YOaefOVCBrEycgnxplI1XM5bB0don+QNzh0WxujWZjF+ecqVwCVrBeaidcpzJFQbLxc26AaSsxf
+VK7sahRxA8g4NxRqIO1Hh3M070+zK1ZTz0QERJQh6jYY699DHFRNhU3fJz9HDWzSHSKUxfAsS+T
zJkZz0ZEJhkSRlH/HlXPEZm9Ol0EhQ93t6+MqKd+NXY3FNAlBDem7EDL4JW0P4ccw235UzH/vLzZ
eRXIiUPMljCnVnfmImsREMnDAgJVr7gvf2pXmFTQwKjoGR5k6NsIuMNKUInzTu0T08xG6CPg8OIc
aylvwcsBNClAwtv0laqFtc+ixxduiv5UbMDzDq5ZTOA3zpAbdokU7agfEMJ08z+Y1AIfJEAeGPRA
oc9OI9Zmg2Hc0sqg9mK7UtiildJttekfa07RnQWmCDRgIfyns34sJqZllBoUrUZcuN18CBPACq3v
l6OCdwQouH5DPAOC5hh/PA3AucriOEqUzEc7yJ1zDbRImZ+DQ84svl22xI0/cF+YEL4EETr+dGoq
glpSr3QY4jQN15xdCM93x7TAlR/oN+8dRBgDcctsb3wgG4sLRxrd7IGwts7kKS2m1ExaVoBMHyM6
romH3NA3/fdmT7blVpQ8eMNc0KX/cpY5WqPJSDHMMrYYQ0qOxoYa093poEGKu8cOE0HheHlkbY45
YGutyZyujEH0VjfSXai26u/QWGI3HiXFV1LLuSr6VEQYQ/+n50sKYiTQQ1KyAOaDpt1Q1nhHan3D
vu0dAHyPlnk7omQxJtAJpUZwOYB4oQomsr/MMV8QM+d9XFVx7veS8ji0z+0U37QaMA7k92VDvASi
KSAvwUg9pJ/ZF/8RQlVZ0Tupb5G5vM/NBBUYoKjev7PCpOM+abpenSxKMFtf1WDP7SFrfdkEPwrR
4QGPG3psQH+ebjkj6bKoaXtUQaNfPw3bKOjd5hsGFD4oFV/tiUareNPn6Gt9GWTisJvTKJSmvPxs
q3UPA/ga2wD0mh55FkUfr4V3YotJXVamNllZYEe3lYvOhIZMguccr/CIV+3zAgRCaJndisoqbhSC
EhiTzuDZNFi9EQNVZaLXdeFnC542JHdxBlfNZGDoRFBNun3OttfKEnNoOjYhMzFASRlOGpqS4ZwF
fYqej6l3ogGa/xEoX14xWxngQyogimCEN03uOt+Ua5qXoertZqrb9AHZimKFv8u+TDLbeZyTDNQf
OA7gVDDMhbfoye5y/H8CV86XEJTjYJRVgLJgQmRJAM5wYqTF1h8h/poF2dHZOG6JKc3kwdgAOnoA
o3zi5q9gzBvA3eKAWaveQqjGX37nz38wAYuI/evnfI5Arm6s5USUcFmizO/JqwotoZKKImXby07z
w+bLCFO3ZqQ1l2TCtpDKW40cTf1dIoKi4ZxSHaXJ2hGmbM1iuXW6FDbUe7l1q2O7UTG0SWccUUi6
ymu7k25K2pWhly0lCH/+0QgsVJ+AkqIYHrpLTlMbhoTkLLORpKso+gjl+U5pwKF9eSm5IUop1ZE9
NaoCdmqjjIBUbPq+gMzPkF6BNq2/hthk3ArM8DMZWtSAYIEJCeqbp3ZMI+wrKzMpxKw4Vo43bqdd
QmkngviqPI77AgK+ojzGrRhWNpns0ivxpLYhtl/XQpHc1kEdg1p013UyxA4WUP+IsC9CL5kcE5mT
Zow5gqbHZrQzjMNGB/0pd5FLp9aVN+ZO8iFKNokwITQSzpLAylMm0WhGOwNhprdgKaFojX43Arkn
nvflBgtyDISoUE7jQfH0I7aA3IxaLWW+BgkH50dRd4LTnLuxVwaYw7wDXLCW4ygH06B8lSrPVmOC
5dm/HPJ8I2BTA7EVOpEsotqJO1VVwYLid6n1MSdzt8vJ0B/kLBS9AHEt2ZSdjt5zNJbLNiFQkJ/6
kCoIZG7Rd+9LKV1NqSM4A7ifhXIgq1BGAN88s7fUZbBSMIsDhL7cmDIAarHoLZNjQQdhtE6f9SxM
/zNx3Y3gJOqKpPFBFvKiE+Opq0U5nbd3oLNElXJMSCCdVR0A2RZkzAuKE5A9wEKht7DToF3hqWBK
7F+q7ypmUjzRtDLvygaeO5BiU/ptBWCL05geZiD4AQ6johK+Fvukuo123VYKmnfLoNc181uko29A
2SlENxquy/hgYKeDYh0VYji1TZQyTMgSFQClqoBGREf6ZLqAJTjcSff1Azj1N6IHdk5tR2n9/jLJ
VK9FDPmZnKCPpWaTa2OsrWtvM+f7nAj6oZzQhx1aPuqYlTlDvQ5kmttCXyofS3+lT+nrkGtXZhUL
EgavawaW6E/VDOgjgn7vdAlHoyZKJcm5vwxu8ZbsjNcM+lXDdxJY97QXaNwJ9Q84yfbEJHNktrij
LWGNJ5PeT5/02JtUxKrzmh0omUni5W+NP6IyH/sAioPPopqSV8fCPIo6FaoSYNpkdvu4hHHjlEqN
fWIAyTxu8VDkTxFITbrrMkC7RhQyvM2/Nkj/flXSFVE0Y/4Rol1aWrjF+BphQvFyRhZZYPZg6eQQ
4VCyzq3Gn6UD9jpR/hIuGnNykTya9WSgTPFAuEfRpvPijRIBq4lL40NquPFBVHxwN8DqMzF7OxpQ
dAwLRCuaMNtpbXgPUdznuBBRSHDNOBBPRP2GHrTBRENnO7HaFRDuBCnCDRpsH0o4vtgY2L/8hURm
mBiI2m6qJTnL/ayI0d9/k3pItwpHEWnyYcoYsOxj2gCTCICUs0OqaVrZc9douR9mkatEV7I0QZvx
VQtf4+4jMv455dGJNSZ1JD1O7dauGrT0Cd4+e4zERsYvgL9FOYpTh54YYhKGVCZ5Ypbg7cfs7bG/
1j73rPk9A6KcBA56geYOdKv+vP2Tb/a1mkxoNJ2Uxq2K0h4yP/sOSEa3WLrSU4xWcFfinSmU6VfX
8Q6Feoq5pygQKMXtBG9A6VwHI7kesJT1DFRm8vufe7QydMbz5jQTdOdQEJbOTW8/tKD0HkwB05bA
GZuJiiEZ4zK3cOlqE3S+S80vhqdhdiBgITr+RZaYsDDkJO4HGQ8+6BC4cwQ+OScoCPEtEXnY56Wb
3VfrdWMiYahbZchnlG85yBgkNzuYe21LVbNEMwx8l/AYhudxoApY6IKVF5EqGXiXCOti39i/ez2+
Bv/1TZMrv/4kFL4sMQlp0Gst7wksAfUxAbMDnkGvSbruTWs7AUqW98apgxHfgp6UCXkutkQM0Xmp
B6mn+iwYnO9c+y1N3SZyQQJIe39LMKpeGblJ7cpPLWjzhEc+jbnz7/f1A+iyr07gGupdYW0CSZju
QecEiqUFggutS3m+hLZ4yWrtLHNuFRKBqEo4leh79KpLcJtUR7efQXXth7/IgQTmpt6ahWvrWweo
fElQCnBPapDuAPuCkSm03Bn7dZnXsTVgVyQvdBat3ESB9WB9gh3SvwGN4hRzANpomAoDSzQkmZit
oU9mv9Qjbuw5pNe6bb+j7J7itxnOqp6YYcI17EwpswaYsaqbMamvMvmQSuAo0JOrSHSJ5i3hiTF6
mK/CxdFSSDAA8OVbg7ts+n12+ARcf2uuqQh2shFRPXB2/Yk9JjzDtonTKMerBbFBNd+/hOV1u6gA
JL9e3vMiO0xoDJM1VlqHRSxjyBhjjCGEZHIBbplMdK2gn4PZcPAIdYiJuupckLfTlnbQrQoc67O6
10LlUEdEcM7wHowhlwguXkpairdCxhvDUpciaoGWIxvZKxaX7uveHb5pHxDyeRTdWngBuLbG3Pvi
ESN0ZgESldTaqw6Ep0MLY2C4/oXPmZCBgVMtnrjGFARQbNWNnM6TKv3jkENLFWzeTiugARMYYTvN
4BLIDD0GqLGdj7WeubEJrvpEVLuJrDDlgKXGzZyM+ErGfDQGT/ViT68+sS36k7HVtO//UWcVbSke
QxVe3/GIjDE6qC6xPZ2+1KOpMrCEuebhjkkn6f6bCot98Uuz3QJsSjJ4NAhGZpNbUR+fd7HGD3AA
gaYaqhhyO00iqd0Rp6Tql4Cr+rRhO7mx315RJGKMp8/fZeb+kfjAiVEmk0QyKVQrhlELdZAOlYra
FEyW874nGmWQLgJaFPTUTL4vVGBEkrgAlkc3AZZyqs0CGXHXnERFF+cugwHcL0NMxpec1qhBjgjN
MEfCZFLWONYAirgQ19D3vrGSba/FefOI6qWXO+x/eRaNa4hcZb6g1LcQyYwkDAHXuZdKW1vHoKJI
u05khPliOvo8RhyhJM+k17Gv3HR+LkbBNxMtJZMpC7PFiGOLy3uhDG4IERpLabzaPIAdOSDJC5G2
l88ZXk/w5NsxyXKIC3u20FdC7JcEA0TuMPmg67wy/fiY3TWbak/wdAEFx+JWVEGL1pNJnQAzgFne
Hmu/7qHArh/iBWwc1uNlB7lGAOChI+lUDZC5eRRprmq5DSRzt+wBotsXEG5chlywjLxD1MAUKZ2j
VhyccacZxJrjsM0alOh4+XS7cvAGS/MvO8IzgW4mptyBxEW6ZELcJGmVhBqy86DbgCwnLjS3N5dN
cM9pUwNJECp/6Bmy84ZTkZeVXKBBXF7bh/qTtJW291pouOWeiJmQ92XWxpgvE2H2vJ00GGsmCTTw
6b6BZrTwcOEVUmsrTBKE7i+ZAf4CwhcHi0Rp4AMVWImfTucqWwPvw2kQ3U6lV1iC6p77vfAECDQv
CIxVdiTG1qPOMkKcakTzTFPaj2q3v/y5+Av4ZYFZwBj9baTSBM+2c+kqMeqd8nfaDIKygOcH1ZMB
w4IDwevPxv6qwi4qKDXUlLnNSgyvUWNvgKrfZUd4FxOLvv3SXWrhIDndPV05ZWZM7+z6ll5MqCgo
7WcLz3m6IGypu7LD9txCRbEJoDXZJ5xFB7wkw63Wy91mr+OxUvt+2StuWWHh9RDMAAoeCD7vLquV
U9s263WKcpUPA0T1guQwQXa39uwBrVj6zFLeNK+jiJCSFxVrq/R7rqz2fdx1SYKHS9vsbC/S6h04
SDSwDlVvAv94WwtfCwPlJh7toYZ+aqkNSd3qGnoFuOAVnqG6P4CuDUx/8NOH/g1RYuAKJpZJ4Tq4
MsucWHjWqUNTB4tSl3U3c2g8T52N4bvWv+ze5wZlo4VO9hmUY4/ONZ661+tzCSphPDSDZK/aDdD8
pfobZeqph+pYBLQmle6hwQrBbYAAwZTht4J8zPN0/QuYDT7k4dxEGp6Ik3zc1IX10KW2m5W6II/w
3ubg4penTI4EM0BhqBqALM5jdlx88FPdJDcDMI71zn5UUAY/dz970Ts+7+qOU8ZRqAwjJn/OKDqq
TrF6CvmgUsBJsPzMkw1oGjHtobrJbW56gGFd/qScVIaOFiXqgOoXtIcZP+tpakarA5ZMioudZTTf
JmP6ddkEby1hA4kS7TMHEieMjd6ulaYuUnQ/BsxHUzmpOHYp/7kF16a38IpuCRE+le/Yl1H696s9
b9UQeJ2xJ0Bxm6ruNIZvySgHlz0T2aDBurKhYDMYEBTEs0ie7NIldVvwM102wYn3k7WjCWdlIm17
HKVWCKFVC51H41ink7tEgmjnZK0TI0zWSpdRIyEBhVZnGB6dcsiqJ4vmZ0uwe3n5/8QSk6jiFu3F
onByeq281k0331Seg86H7veYkh97D9gcQf+W/ngmZ52YZE5S1Row3KEj+dc1OuDD6EYLLu2htitl
1NZGLHCRGxNAgEO1AAh6PM2dfrBlwqRdWBB0FPMHq27dXhn8PwiJlQVmOyVFERvDQHFhhuxXUC4m
UeY1xdNlK7xbECBFX45QR1eRpy8mtBx1ODID8baB7NsPCk2AtOJdHizbwbeR5ttt5EuCBeT1Pk4M
s7tqgbh7Tldw2oTbEirXUuqZFmQPq2c600T7s9bdANmEKd3Wpid67+ZN3cE+3jDwvKDgXyZgjKqU
WsMCpLILpFvjGkdNFtQ7Aonj/gii+a3xRJ5zbxAkYu5G/7LKUqfImdGkdo4BiNnEhmjqQCmbjxyK
x5c/K/3xZ7thZYY5wac0LyTVQhM1lPJ97KDrUJT6AWD+g652pRsp5baNRndqBkGO+R/x9Neysmwq
9jhrjbTgpKHguGVf75Xr0k9vs21sYzQHF4JdHEi/pDvRSzw/56xcZvaLGXVh083oT9vP07u9rTd4
QAE0IwSK+lO9xKtvTFEW4AYREGbAvoAEwQRA5XT3JMRpk6wb0ay+JhCMGrY2Es/kdQhhSnhpeJbp
kd/5th7/II7WhmmuX23bMc30OXKABpsKe6f0xVVffNjtJMhBdPOzYbS2wpwYJcFQV9rliFZ516hg
1CxEL0H0d16ywJwUVqW3CokB0wN3y0M6v8yQrLMxIw9VT+/yluBNUuJF5OtbMRueZIMBhnF8K/Ve
2Sx+dq/5GiAi/0faeS3HjSzr+okQAW9ugXYUKVEUKbduEDIjeO/x9OeD5uyl7mpEY1N7dDMRvMjO
QlZW2v8fP/t3mSffFQ9f1cOwYE1C6LNPDuC4TK1bbzF7bhypLiwADlM4SkHGr9D1+W1s2u91qXy6
remWCOHyh1bO6LSFZ439I+hMbqVOG9a3Vi7hLBf2aGdZExbjSXMwp7hZnGd/yF8y6DJ+pG7xUv9m
MN9ymasu5VzYou+ZrRuZHQTScrMXiJOFRSEt34B62H3NgJhbwAFt2l11f3Lg494wmvWj/KOncL8L
vYkdOWW+J1Hf+lLltenWnOqWBOEid70czLFC1KxZH5twIuqr/q8fS7jFqVU1g1KwPKM+9Zh8fggP
TJIFd9IxO/Cw/7xtfWsv3PnXEm40rNB2rziYBkx+XgBBQc1g7N+5vz/fRbjLdlIChSZX+W6muxVo
rOUAa+5sYpmvBZVnuoivdWE0jd4xrrqzyvAgK6fAdFxF6r10/KbSN799cKtp4bk04d5Kg1RBOh0v
UfPwybQAAqiO9k59No616Rqf1NPWGMD6p4KH0qADr1+NlcFvVquBsVys4t7vv0YUA8n9N67Q+hn+
ESLc3iirhzQtMPDSf1QGla2f9KDU7xZq3sR89bAXzghkL2dJQB1NLFwYcp9WvWQELH6O7qSeGKH0
pHQrf7++skjREaBYwE+APnHpj+RQLZN2cirX1JJ3Q9Tsy0ndmmW8PjWYVRcADSpzis2A7aWMOOql
huS2cg19tkCNUaTxifJP/y4s/DHwojnPsBNDcuaNTHQlpNFMoAZM5l2AJ7nCClGUsdUHxQ/xFpO3
eAv/a/SxvF+QXSChPiS7k/8h/bJh+otpX4YBMHpCh8tWAJAhV/jnwImojZ1ntatacXQ3qbN+kueQ
qlNnJIdpTr9rWvo9VZrskCSt5A5Ab79ko7w1nr72ZaFgZyeObgbdQ/Xy1KfCtBtLgQJEjTDUynCN
fn9b01UJOhsyXDnNZgn0UoIvp45S5CkvpRG9TyaqsI25saS+JUJwI51d4Qy1ItyVzo9gPE7BFjXv
tdvgY53pIJySr8wRbBUIAIL8rR9/MiXIUtWtxtJKgngpRgjo+3w0g4pd4F2s78f3Hbjb8Ny9SZ/N
mDgUnnL52XT1L7PpFrvyfzHvsnWMy9/Pog4fTuo8jEuO0Qg9OQl2CWOCt41hJbK5VFG85Wkx9PKi
YnoXv4dnBxAb46CcphYIt2gpCNZuOO7U3XSSSrfZCm62vqMQetRFMdGorsLdUJZPQah+lST7mFiA
eNxWc0uOEH9Edj3JXYS9SFr7lg2BvR5rxzILn26LuU4lLg9TCDxg65bqoeUwASDaj9mXpGAdnrpj
ulW6WLOMc98snJtS26HRNn2wy4NuZ0Fx4rZa8XJbmVUZrHvSRuMRgCnt0vrqMLP0sJyhzkqbzxNw
srXlbCxvrAyM8sb8kXHVFMrseYoKo3ILH/B9o4gYtNXq4NnobO2J+bX5pdTD7AeMgvNL0BnMhmhK
+/r5BQ10m2WDRF8GUDThlvvmQNvGTODknPznpgjfOs7o2U6xERmsnSdDJxR6KEzj4oWbxjqHpZR9
sswROYPxZKpZKB3iOPOzjcrLlhUKHy7D9aeqjNsY5KdYfZ8l35PoW7A1v7ymzh8XrIggbFNtKzNA
aDinsNmluuSW8saTvKoHhIDQ8y2gGuJ3sZRGa8IiDncABO6rPjs49tACwat9Tfvx4+uNHWgQxqAW
vDBCnktjhy+4G8c65+P4uhTsIRuNP4Ae0289KWuOyGDSydHZOjBBHr2U0+iRbvSTXbm61eNr60Mn
p/u4VHe31dkSIzgi2c80uVSsylVUycun8ZBH5j4cs7vbYta+EFEE8P/2YtOOoE0bMPCqm1LlVnkN
kaI1u2MUH+JoeqwaeYsCZ00ngl5anQZVLqzi8uiGyLQKRwLqb673U8HIsF1+LPv22+tVMmECVn8X
ZK867oHd5x1r0kvo0n+UwFaXI+vkawxWRcNf2ByOxzRovKtgSgj3dOQnjBpgdTs1Pwb4V0nZylHX
vs8C8Ocsce1i15dHBnWUasKYEO60xgLzgKGpUJoPxiw56mmQk3l+UxVg+G9YxapnOLu3y9/PwpYc
Dr0ym3gFa5k1jUahbfDy+o9EIxHEWwClFTYOLiVA11wl0SSF8Lt/pMvvpQEAkE0A6upm5WL5CFdp
Aa1EBkksBrdFqwu6WgPzNOMI3fRO/VUetPv6MQBYd/ravkleNNBlp/v5LSwE3zehntZkMxRpLTv5
OlDTy404O8huwbmcRxxgu8tVtwNW837hOmjBx8+OUEDaLyVgtmbkDs9F7g6nLWTftQzwXP5iXmfy
R1UeqtjHQI3UOCb554Q+Wqvvw4qdb2nDY63U87RlAvS/ygq+RA67ylA7lE3vCEOtQ3Gk17QregYZ
6I1vgg+uXY1zcYKHLAtT6uae7+o330z1P7b/s5LMw5xPG3otxi7az7kc4ZI7Rs2E1YRakvaPk/xK
zY2m44pXpATAFSB0WbCtBBuJ5qyJnL4JdkrUuUprHiwtZ1kpONy+cctxCGpciBFMwTTNuG1aJ9hl
abJLgsfZOmj+UwB/ZFrPXqe2G8e28nku5AnWUIYk6XKNWoE6u3ZH0g2Um+T/IzGydluzLUmCIagg
DPegB1XunCmfW+JD128dYtHecZ0x7zekCebAM6mD1b08/0z5MfYh6DUVUyMFo5q7uWEld2Pld4eh
jbSNkXXh4i5SiNfZvXaWDRv6wJcXNzPltJBIC+iu2WV8r2uOnR2dLJVDL+lV6cXpR1Bl5zzfWgkR
rPG3YDYMWDQw2TSw1UX9M4/RBGov5ZKeu1YdvbEZW9inRs36a8BDevuzianDb1FUAFgYtvHK1Nsu
RTEyLpmTHhdu0w303FtVqQeX9ZAmdacqV97PvTz8amLfVt26sU1zJ5mBQVendsrPt3/KmtIQszBI
Y1oKaHbCKzukALAnppm7RmKfBmm6d8qGbe06VDZ0Fkz1X5V5yRUZZp1roPWkVotsBrHXS+PxfowU
xS3s4G02tb/CoNticl3VSgeAQwV5banCXZ7vRKzsOyGVG8XPmWVjI7LaN6k9pu6YBOHz7SNcuRZM
Of4RJhisk3ekzZaTu0VWdl4mt8+RLn+8LWNLIeHq+SlWVDjIyK3B6x3TTfSZ5cutMHXt7pHlESr8
TvXEJVWpySQgfbLCTdooG9wCzV5iXUl/aGoVRF6TGNA8DWFWyBuuZVU/BwAQghXIPEQ6KcPXjQFO
0sKt+gBEiYDJOLWBmqjSqy1g4g1RIoUUw8PAdaUWn8tvHkYzhlstjj74hvbP7U+2ZhawCoDGwsAY
CZNws8Abse10lHI3M4q3uTrCNFhtzPyvqXIuQqgk2m2nT62JiKQ139ZTXHhG6NzPc7pR6li7uyQu
YGmyc4i7EeIATa6K2leRYwTvs1A7Wjlcodq3pt3Cd11X6L+CxG9TanaiDzZmrvbtePSZ39nLWVW+
DympvK6q9tsfWcQeBu6ISFxkNSK9jbRhQtQspZ40pOxfjXfSFvfAuhH8kSI80JM+K0bS+zxmYZI8
5FoDC3IX58fbpiYEOP/qsvhUkgpiKTHOz9qxnCNgVSljRP4R2BntINM38tJcztxZ95OjYqTJvVTp
491tyav6OTxgC+aNI9uC7xv8sqqVkHvrD8U+LPufejt/vC1i1fhAKLdB38I5mEK+NDqjXua8zG4e
vpsb68tgSI+zpO5bBnFuS1rzftaZJOHGxs406Ea3mESqPTlJF3tlOZyU0GQZsIG5Pc6ebgtcOz2y
dUIYqEcWKLXLZypssmbKJph+nbbzmVsMPhh1uzWOLPZFf1uHTUSl/MYMIpe+lBIb0qCBbZ+7Taob
zPsrybgLTWX+zv8N76A2mr22ieNjbPsZO1Z9slOs3nIbybZ2Y6/Fb8Kukf7Co9jLbs0SEChkTpe/
ybStTopmHmjg7l34X9v8Z1I99vGn2we85k8ovy39xt9FuOXvZyFdbIejL5ed7jmpdBoY4xpHc+fU
GxYq7r7/e8IQHjDLDkQRFZZLMXZsyFnLGL9nPCowngffrB/BSYH8QDum91R75v24D7zqOdhtDXes
WtAfyWIxYR7kxi8NLEj3VVAN9cJ+SPsp2YhwxIn2fxW0aWkqGCuY/oKCE3W0SDNn3ZveZJ9M+Igj
l77KnlHHtxD43SWe7sbvLEZhD76bHWL31bP7//4Ch13LpWNMQUO4mxIsKxonr3ss+etfisG3XbA2
Oi/07WbjVq5+TnwZrEQQNJKWCtdS16rWHvte9/ofy8CM/oZJp1P8nHkLpd+47wgrmds3Pwc7bcOd
rovmiQUKhRxL05bvfWawUzy1sjQhWn+SPXmvKTuTHaoPElxZyUcrceHwTUIYkcoPrSfdFZ9vX5c1
VwtSNrkP3Xn7iq5Ulmez7iIQAPWpf07oaqWWBDqzZLLpkstbjKVrl/NcmhC9yFqb28aEYzcbIAD1
+A78gf3U9Rufc1UMoCvab7wcMBwvjzSQIyNsB2JaWXFSL2kC5SgVBUgGRay/3t0wSs8+BLwn1DXE
ccbBMtJKmUKdDVLJHc3/qMVLG280SFZuPMU0Gk82oZgK5MalOlpllVmvFthBA3IoSBx3ZHAbdrAq
AzY9BlvI86/qyJTMo9lxkFEP5nulU57aINnfNrU1EVxqVhJNYsrr1e3Qpxou5XiU0bGPre0rXmV0
W62EFYNmtBSDhj9ZBZhEeGZ8hQfAssiz7Vi/A5zmMVTMO78wdl0u/3i9QjC6LjMJIKxRIxG+S9g2
gV1xd2If4FjZ/FZb6dZUy9qhncsQvr3DKdWNxneZkzg5SFlcnSTDbg+3NVm5MOCm6QQk9oIxKL4p
ZtZk4ThUENL601OYlEC0576z04P+w21Bq+owZcRrz94LN1Q4slhP57FZUJub9j+jlvFuSJm+uy1k
VZszIcuPOPOosUIjAYi9gn1o9RTYXxg/8krL3HDc61I4Muh0AfYV4TL7tK/CpuDMcpUZBMopFOYO
Spz/lTJ/xAi+LAtaNQrnkhPrzH5nGNFj5kSDO2y4zLVrw07yf7URnntLGhwgBnhr2qk5RLHx3ZKM
N2kOgo8fbNHorp4cC9YK9xOwdZGa0SnDZDRUjKDWnF9tXX/qK+N7rjl/cXfwmCyKksfSIhWbpEnQ
+0ZW8HYbVS9nnj1G8nwcRp4G77bBrRzespTG9BN7qbC8LgqfGZxV+NKUxzgCe7R3cTUeLecEROvb
PH8lAMsSEy0vwFJgsGg/iBWGeNQaNW2wBrW2YiLA8kMW69mGya3VKi+kCM+008WqHrfoExaa/jnx
repLUEnN2yiwWLZiMHL4paZ2/ZgPuh3Tacyb57hpklcuff+rLPEn/pxzvXowlJJVUj0Ggw74/3Ev
5XDJ1oPjH5p0C2998Qhn7YL/L4mXFQBQWJXF1r0zhnqomtxlp0w7LwiY3QezbSPXXBUCbDwouqS0
vLGXVjLWZRDJI+pYWsw8Z/bND6Vff2GIZyKED8d0imX3Ghbft/l7a84fyqA62G30LWOw4raodW0g
oubwmGgXV9aHVApYY8ZGkgIyjbZ41MpXsqD8+1WYm/sfEYI2Dj0NH7DIwk3N4Qh5ujda6qEZ543b
u6WJ8CbhUoMstcDoCMZGczUz+UYL/PWPBXtvf1RZfsOZh4hiVu7xphQ7k/SkxEW419qic8uw3hod
W9WGQVQKkHhYQq1LSXLDXGHEArcbKw5wMdle6YfdX3z6MxHCgZV+1YfUB1GmtdzSP6SZvvFJVl4I
+HT/KCEcV2UGihkbKCGDsLrXwuFdHDqJ1xobRrzmuJk1WOgcGAsxRTShvOrz1jaxMGduDsFoPzYj
AOxx/z1rq0+3D215QEUXwzQIS8wsBy7st5ffZcEzGvsJK7P7Ok0ZC0qax5LIfnRVp9CDg9ZO08cs
7lJnH2lz8VzLwVaWu3aqGskKHTYZOErxPbSz0e7mBdMzsa34YFgRtJpDXLQfVT+NtpaHVoUxaLOg
jyyjakIcXjltExqprnvW6LhTlrmSbbtj93L7VNekMI1CrocTWqavL081M3yNQVNCicTh+bHi8Tms
kn1Fmr3hvFfqrTZdQhtaJvDKr9bWeHTbeq64wHac94c2DKbnLPGlHWhGjgspeXqXJdLkOjQzNpqj
KxeaLokNvyY9ZAjPhSyDAX0tHsvU8GZt9vqicY10a6Xs+hQNWV6w66nza9cD7LmaFUYZs+Kcag+S
aR/S8h1Qy4fXfiqg40BPUZmbQIpYsS6KUa5M32c8QimOmfNhGqk1hj9fL0Q1aLMAH7fMoAj20JdF
PYxGwrI2QHtjDjYXOGD9FhiRyObMywQOO5VMAjBMHGmXZldYFazJfWN6+lEBSFB6jE7FB+mQ31Xv
aFk/LRSHDXvA7G665l21S15m6Da99l1xKD1nV+62qjiLvEvnYrCmx0NsgS5K/CL8niyv5KAf8GNz
kQEtYVo/87T5jx1WJkhhSQbgS7C7fdDXVnkpUUhL7ExWWqnEl9hylbm51p+M1Hp1r2uRAUkAqyky
X1V4Z8Kks5uqx2WWcn83TO+LumZ8I/sLuzyXsmh69jRXpNctBVDwavrZHSz/ICnTsbe3VgBWDww4
auYOaUAxcXApRq780pIW/68Z30LtKdc/3/4gKzV/g+Vsuvq8/KB2iqYfNIZutpQK3MYMC68H3Spx
i3auTkmv1W/KnGXUWJ8saP4a0OdHVrRGNpt/OHNU3hWjb5yCODe+3v5Ra47FpKCEYQIzY4lKUw5h
IzLnztdVszOGB7Yg3PqVI0W/LyMleNIhkHUNihiXJzvPSa4k7DDxlqlEoxROm97Lt9a011SxFNwv
lThA0MTpR42dQ1kurMLthunFHOzUG1MiuKlrvtw+szVDoa9GurMs9jAYc6lOECUWz4tDxTnszLvI
xOMPcujvbktZyfHIqcj4WdthcYcU61JMmcgZdhGa1PfNN91b9lFnL3m/vTF3rc4yNryEN78rZaI6
cqnXEBAaSzHG2A3B9JAV/kbtYkuEqIpeN3VYIoKBAgNIhHDq6p0tz9PWgOG1DVzqsvyQM1dhd3U1
N75PWFr+HNgpa6JvSrrV31kVwqsCrx4oiUx4Xwqh1jObuYMQRf8Ra9+VuvayesNZXEczxLsk1vCi
kIcy33Upo3b6ruxajFnRfDtwJ27QMYeJ6L62g/wgV0Zy7HBSkewEp9t2t/at4DGx4NSGrpsi7aVk
Qw4V30r1JdN+lOfSnWR/I1K7fgvRbXkMcQUUS8SYXp0Sh9OTeDVsm354Bo1fMT8C/svwesQ2lO9v
bI+tfTBybrpRy4YXul2qFKq1pkUyD0YXKYfJgYpa/1CkwfH2wa1L0djTXPz7VaMhkqI6tCvUCpyu
O1gNwYczUJ6rlWGrJbUuCpBpQne2C3/DFp2ZOTg0iRX3Jk9V2L3r6uHRhniipCt1W6NVU+BV/x8x
gt9W+nZKygRDJ1UBWq8bck8f2ldHz1jDmRDh4/hOpMdGhy6FjZCWjdq4L7/fVmT1vEy6Ddbismmi
XBoA0x1T78x47CqmZwfy3Ry/l7hWt6WIE8e8c0ujGTJdpCzokYKbM9R0kovF++ij/zOPxx8+WdGe
nlDkJnXyxqmne1oDAL83pVcV3acxC94CNLkRlK25jvNfIbgn3ZzsuQ/S0qUDPsS7IE3U9wmAF/Mj
nKB2/65ibC7YG0YWg7JhmvKH26ewZjQWzTbqoDzFVzVBnviRtSquQW60e3PwdaaSQH66LWSxvMtw
mpNmHJUByaXU+vtLnF2ApKudNknQMWi1z/BP+y4414ar29XXrN2iwVjV6EyY8Fm1qc8UKA9K15Ij
520lpTS8nd5+d1ula69okeKR4PGsEMFcZSxS0rRJGZX4XSB2S/Wkh/En2wq/mXNw0stkaxzzWivk
ka7iiE2TTr1wJ+C0U+PZQasiiO+kRHpQQ8Zsb+t0/ZmQQcN+oVUApk3si8YFKWs6J5COT45Mepyb
rmVZB8XoT9XUjt5taWsasTa27CGz+wJS5+Ut7xkMqiwfjTrH9ibl3RhsYYRc+xH67ybca85CKHbV
ukyHaGYzBH3GXCENAbLQU+Y69qrNhee1k1ti2SUR/w3wcqlLFKaj6rOqi+PIf+jj5KW6s9Pm9ms4
5p9uH9vv+sTlZcJdMENCp0eDjFPkbx/GGAq2mhub6X6+x7SVfaSE30Oj1l05TVi3keQfFKwSL28i
Erwh1PZhkITPSt7M91Yf5l4AzoOLU4AK1QqXnUqwjvVcdrymnUxPUlpSUNvq2evSVcnVJVnfVcUQ
HXUtUN18ML7LUq+S32U/WQKcvcFJ9MNtLdcOVIX9VsZp6NwvoUgDrMEwBCG+OVKtvTKqzMX01k87
c+5bn8nJ28LWLFGlRU8AxRXjel1+PYnBzDgNstL1oy58CMIh3xdhFW+ENdeOnu+Gl10KsRrtbfEG
F0kwZMoSR5XjfCyDVLnTGWs8xOnIAK0U+hW1sH6mytFZ6e62hr9LkVdGw4QhxRVWzSxRRSi0g6au
OU82kx8ryXnqrTbZm76e/LR9I3jQa730GluBdMnq3qhp/ax1mwRFq+fMkgqB5JKKibMdxVxPk5MF
Jd0UeuFGuMumrU+5duVhGaUTSl0WEAfhUypqVLL6kHMRrf6L3LBINH8NK/vr7eNcVeRMyvKpz96z
Ko0Vq1sUUWLdLXoqzLq//xsRCzq4tdwDMQYqhzBStBQRpvqU2l8Ha2Mbef2gyFTB3eefyAqhl2lo
VHWBr9fN4qHuZeXos6x0CotXkikRZjEazDIIHBcgFeK4Lg8rNPxx1kZ8ozUxOjkNTXjoJ/lbbLFU
efvMVmbsLkUt3+3su7DlMo8JVLaelkW/WvNxGjQIpVNPKxSPAMptrf/IMIOrcbCvsoXew3H9OHSr
MD2a+kK3/j0No102zjs5+c/AnL4Be8Xt37hmOuensXyXs59oSqmvFSChesH4UU2/W9HWDVhzM7Rg
KK2Q1PBlhRsQhNPcBhLPaq9X7/Kom5gK6EMXHsHeLYv2LrXlu8jfQg9d89dU8wGMIZ1Sr6YbG7Y3
GKvg3hlVeFIq23f1Sjs5UnaSfGUrwlsTRpbNc8uYCJsOgkXlPuBlDP5yN7Tpk9Z2Xpuld20AtHjV
beXXaza1AOywHEL/D7ciuO05k+LBmGTLS9mzZJRRPYLstzPAjJx3pseOT3yIjv4pt2DucKufcGQ8
KxtdNRFYcLlCy2I6LhMsZPZKhN/QGtFURKVmeQv8WPxVi9wFWzDyjKP/pSMLAwA5+X7bTlfOmFoZ
Ie7Si1avKvJyrYeWn3DGfTNbuwFYhI9h4mjvrbYrd6YUzofXyyM55psuIdvVA2WamaYafgX43UC1
WH+I59RzYt1jn/xvBNFsQDNw9sVHqGFVS8mXfEuu1U9GWzyY87Sf1P4DF3MjR1jxsexkUqjlP1S6
Gs6Kplwe1XKJK6LKpQem73pASJYordx4LtY+17kowfNNw8SGP9BwcIUNh4lFf1t/rtLwBJ3m6fXn
R1WGKT0C0MW1XzowZ9BjGHQbHg7HYemjOkigZVRjdeeHG6/s2vEx0IQPUxhrovd+KWnUUrjCTXwK
FSjAgtUHrZFDqDuDX7c1+j2MLARHKLJs79HJNRhBvxSURm3bjXlke80Ea6fpNR8lIDsXgmuAfuJH
86XbdQ/RQw9wsPWtPPqe4eYfp2LjZVjJKOFuBiGbwUFnQfS9/BUSMCxqpNW40KltD0ZmZUephuq1
6l9iaXS8Qmcl9bbmKyesksSSwS7DtrboSKOurDgUyrp+E1Ht/2VPGo/i820hq3pxB0hYKFUQzFzq
ZUc+IyZFy/vf+t0XyY+be+ZJGaWZpPYo50P7qZX1eAtZaOWdpbJDuXcp7hDeqJdS02Xua8SKvaLJ
7gwlevT7bsOTrLy0iIBOmYo/7kQM0Rj81I16puZaZ8pDORrRvQNY2LGT+no/Rk16KswxfyjScHP3
dbljgsGyZ2oylbvkmzSBL5XrIz0nHdJs3gP7OO+g9fmH5MzNXvL9dF+/lst5eX6YG194KOgcAo4h
hBRgkikGI2z4ZpjxUv805AeAWe5me6MUtvbNlhlzZsaWtQHRUvRCbnn/xhIkjNDVGJbXkk+3bVFE
iP9XFTIw9pNVdrBtwXvNRp0NecA3g9LFPknaMN4NuaodKNNbd+Ooz/vSzvu70J/sfW6H/YslNeEv
uiBwjLEQu4/UKj7WFnWfXBrmjV+3ZlALtfQy1YIzF/kfbegBVSWUeXNpMrafqti5i5LvgUM9MnF2
faP/xfU/l2demlFH16JTc+SxBE/L+XuQP2TWlrGu+ZhzIYLxDIFqNqOJ8dT+xESEylv4LnIkH4rn
vuma/e0PvGpCZ0e4HPFZeK3mipUoOt93DIqXUZaOTtVsVMDXFTIBxWJKHSxfwYQcuwqMTlq+En3f
UHbuTOMx6+cNRZazF684eM7/lbIoeqZIz/2PIbulLNyE+1j19w2M9SPYzu1WpLelz/L3M0mZbDiS
0nBkIb6k4AXsGb5IN1qKa4/AuTqCqWkFcFdlyaHNCZRyQzs6+yEKvmTqGD/oHRNG+uuRFiyqsjDe
E+QpKv7kUq281aoki1ErKeudHzCF6r8ShXNxJoggBVG1hcJDXKhyanO2zVAj6Mrl50L+4qfT86vN
+UKC8IpRugOfJzLwvK3mFloFJfY/tyWsfP0LCcIxsSQTwnKJBMt3PHDQdt1o7Jq6f72rocXPLBQj
3Th2VRBTEDFOk4EXSOz0Ia+Y2BnAGlQ3YtOV238hRbg0eT07UuUvUuLhuTXSU55ssRWsnteZIsJt
6ZoyptTMefV2/Vmqwf5V1XHXK9YWlMaaLljtklJbRH7iPPA4apJuNAhyahgrZt+Tt0hF1lQ5lyAY
V1EZmWOmFs9tWP9MlfLtKEU/Jn04vt7CFgQjVt9pApHFXV7EaZqK2hxQZC7jU6P8Uzb9KdI2lmFX
T+tMiOBfSAqc3FG4ig5l4iwKTnkLm8RtRURc2t/3nXoZO7eGvkyUCE/ZOOS9ExQ6OJikCfJMjdEz
v6UHc6e7ijd/8iHJTDwblrPNHdWVT0VrRl5m8JiovyoA9NB29UqOZCOQvaixj9mg76tiq9ixcopL
l4liB3ubztXeBVlcnjMZCcjuoNWuoQ87zS4/3z7FFVU4QkB9Wb9b8LuEyn6Y+7nSU17HpRXHWQ9T
15znXTfHyYbLWYmmLgQJeUdfRE7XtCUYeGla31ej4bxUrdG8oZQxn8JRl+6TtKlclr23RtPWVCTr
dzAYmijwMlxafJBOTWgrsHZrTdy5cSJBGms0jIVE6dYEzcoXY/OL5gV1sCUeEZJGi2PTJSeTvERS
kt3UzDBkKXaz0bpYeb3ZjaHPuczqYveCQkafRnpZa5Kn+/4AF11qfW3UcgcMKcaut/E7fy7D/W07
WdGMlJ+8n6EJ6k9idqU7wdT6TleBkjg9Mq3+y+xAQ74tYyXIYmmKnHtZo6e2JnhAKclZzSFQcOW8
ZDi+yYbqbTXaxpt6DjsMM8u3wroV04AHk0dqiUpotgrv4AxwiwQ5CZ0DzWo9Jar+sWQsIxnsT69X
7VzQcrxnUd0oqVpjqMSPkRIN7E+Nmatn0hPALbo7SuPhtrS1j0VlH0I6IiGGugW1UiCQQLTh4c2D
/HMnxb/KmM3a18sAysqmUWdpTCQLRihLpKaVhIuvJ+iIEx9vmMGPdlvImkWcCxEswgBpZOgTPGBl
kMDrefGrcOwf7QAvVtSU5uvjFedcmnBscjzRzV0UiZVec02q5bP+F4OyjCWenZtgCUUwDEXRISSU
c2+QoRZRzdc/8YRE7H1wVVlEVoSHsVAU0CQrTs0c9Z0qfaqs5hAPG4e1dnXOhSz+/syig4oxvjBE
iBbNT1H0ph2HB4npsNsGsGbJ51IEh+qXjpYZE1JU/7PWvxs3H4dVC/tzVmL7Hix0rQYEFg9Qx+9M
hSXNTtcOkzVVOw3Cl9varIUs+GxiBjhSKFSJnYOk7IeGfJXgC0bjJ3kv/wOOHsVoyZMfO8eV4P59
gAuTlpgXb60NrzzA57JFTYGWpx3tI9scNBZjWuVRHrTdpCj4OzldKjz0U/xmI75Y/YB/NBbjZrjm
jaosTarGrfacy9EjxcGtmsaaDMawwfEgguFqCa4IkPIxaypkDEPmRtOxA4Pz9ofbkiD4IWtsl5F3
zs5P8502PMHXtSFh7Tqd6yD4nt5SpCYL0GFOZTfS74HNceP56bYaa8Z+LmRR8+zOjoEfTn2EEFMG
UjtqPa3+TgmeeZS724LWzwuAI53ij0Zr4lKQ0ppOny8eqI+l761seHobbXRzlOVEhJIM84LLkBw4
SszHC16ulbpJLRZlwmZf/aofFkLjGNbM3rh3jsUOqPe/cKtslcnLvAQE2mLYNYPT285TQIzK9JL/
FaR0t5Z77/UnR2mXMgaz2DZAipcn19UdqwsjQppEdemh7lLGsW6LWDO1MxGGEPJ31VTGUujgU2tY
PJrmMJcQuPZbGwVrxkaIqtAi1WhdivvA7N/FgRXzfUpp3OvdVyOy37TlvV9vFf7XjO1ckHA553ke
5bxGUOSYH5MhfJ79v+jMLOH2f3URbqei9MrUZhyZUhQv7Iq7kzbc2ckWUOiaiyaiZ4pMoYehiUdG
ecx0ym6xMCP7OHbZWwmsf+LsHOxmbZ8mySe1MouNh3z1O50JFY4vCBI7LnIyQGfm0bMC+2Goo71V
KndaKcf727a3piEjT0wCLRnMFU2YooEYawZkgRSEzb1dtDpg9VOwryUpfuCUtZOWW03o+o2ztXhw
rSdJGehcbNAAZkCOcXmz5BBkKXuWfK+pJtegYdLZx9TOPEvfQpVfPM+lZ0IS42vMBgCDBrjTpSSr
tpqkSjRqRNnkuCPDgbvQj34q6bxTMucxUuetzOn6SsNYyZgo61eqSeok+EKnCjotycnOKE6+iWtt
N4TyMdTs3e2vtyVm+bpn70co6ZKvp4hp4uBj0A4HIOU+g257+BsxjOYzcA4Uu9h6DQPJjEKD/LYE
pS2Wfzj6G+BnNlCHVqY42FSjHGDRNKespy/KnilTpPHkFDFTlc1ef2Omp8gCkopd/+dux4yqqbpp
v4sO/obzvXZWl1IXKz2TWuW6P0kyR2g3B7sc3veDvvHIr0qAiHypeMB9JXYjR62kXJTIICjrKlIi
d463PO6aHTBrjcWZjMPhFy+VUNQyV7IRrqJShTzYHvPvcjL+lO1mC1BrJWBe1gkdh2kbEhkGjC4l
qWAWFy34I16z1w5FeSzSvfE58xJmbYbetVLXvze6XZvswjdbfLDXrgrR9jLby6iydTXWVCdFVUcV
55g6ybCbZkfep6YN+noISXc8PPSzwsDu5iT76tnSEIW7mNSaFv2lxqAVZmWQzHCJ1TaN3SC+B7sw
97I4VTZMcc1NEWL8V5JwAaJwtH11MCj9GdkDaQBo8mH6Pm6CD4yOfSjMeKOfvDL1yokyakvRgCUP
CkmXqvW9Xysm+LcMzWvTA4mwdpKcU/8S7c16jt8NhTI8jk1nemXUwjxjMId727H83mwQPTNLh0tI
IpNoiDHjAF7z/+Psu7brRpJsf6VXvWcPvLlreh5gjqV3oviSi6IoeCCRBia//m6oq6dEkJfnql5q
lRwD6SIjI3bsXXa+xJpC1ejCLuYsdqfC3XDUjuKAQtGbVtRKwtLkKlIdiJaNFowpQwFk7NAapwQh
Pjqqv37Oyp/OszcOjoespy7GKi46sSODPJV4PWVkdYTcTiP5yQN4Uxf8okO7U+Jk6e2jTfvLQNYs
t21vGszNMK9Zlkdu+6MpDyo8kfX8cPv8amTldZBrcMvcx2yJ1H9xUnTZP/IHGVebOj4VE1kfBQsL
GwHkvNGiCEqbt1vVVLU/8jDLkuLBfXHzaI4niI3We1Ti0L8SZVClNi809IvFFVJ5UEBJii0DJ2b4
g2/L3353gFIOqRwklAHEQFrt7begu6SzbFKAgdKcUbGv6FenCp+ySZ54UX045l/srI5nRnAhWy0a
7DXLYpNhbKF6rB160bhFeML3fGwL9xOAHwuR62pT6hnPXY+ay4YZH4PBueI8PIbIkiak95tTx355
0bw79rgPFyTHT9DT2xlUutEFkPjQ1gtnQEc8p3XvvS4IqqifDGASiiiEotZWWT4DdyOdLbRRhqgo
fe593h3Ehbod8QbaKBcyunXnq+m2NqsGKDgOLjqunBHloyJ4+dzGMm9vRrrYCFHtgI/zQXq59iiT
GPrJw6UFj5ZtmUh5+bU6gsINdJdtf0FcHUZ94JDfha+vzK6Wk/tQaJ7QDp94NWYwUNaXwM9ebfQU
fD6890HbG0MID9+uZM+U0tTCcCgFXLQHXEEwS9y4OXQGGpN3O4vxdEDthReabrSDm5MRy4z8rhni
wi+QWrP7U/o3HywskHQWXuwACoJM3H77UeMATNiAqm1ktS29ZlPTptVY/farAqV6x8LaLgVtYHNX
kWNtVVDJ6yaoHyJnKEh75RX3uTNsJuJHbX9iQd9nV2Bt4QPACQXfCJiW344pLL1yBq6Ng2LZFDEY
l8pU8SLbhix48jjbKObs52nSkaaTus6mTESTnQ0k0qPM4hFzfsJjvMeKLV8EjAcwbzbCwTXyW4ae
7AMQOSZ9qtLpTFzMr9OR7xqUeaMsdnbWt+L2t9sDFpuojiK3Z6F5zV0dJ1MrhtcqROJmtzbPuMcf
Z9plJ14i73zhsqdRVEP/K5D6YJF5O9UgiiF1FTBw74qDomdDiPQCvSfkFHXWu3hvZWd1p41VKGor
RLwH8vEypYP3xfPGH1SBbrHXxfOI5Tzh8d6FBT8tAmMCwA+IUddPkXqwC2AuYbHIcjfSPdsKt93D
dZ3KAL+ne1hZWh0OADD7ude4TwjhAM9Y/hBZQZh487DreG0lliG2vRyT2lB73yH7z93SqXGunt8T
Yt5MOChctpWTskZtw1ocUHg8cQQ+NIPNj8vDWYijV17WwSpxaUGFpzFV7Mxz2oqXrPROAOo+8Gag
CoPgLY4YSkjrKB2KzAVpPAwG4IozdK3f2hY9la/40AYSXCj0glv8HWrd5lU91Qz6Rcqzy3MKNsE9
MG+vv78qSBCDXAeKCHg/rlaFaeh0gxgKq2J9D80Ln8nU0dOJG+mjNQFJ90ICBj+B1+Lbw0u6IbBz
H28anbv3ozvFIOlIrcm//nwsH158SNqC/wjF1vcM3o1QqnBdmSXGIf++pLrFfXghkvY534nbhXXJ
/Bt7GsyvwYJwwct7ne1GFzyOnGvC4Iwowu5jMFxtufxt0B5+yq9mVvPX22U+ZAKyptzzUleICEw0
J47Nx3P3y1BW97NmNjKLDuYOVRuwiT55z3oH6pn90CTOJjygY+de7D5fr498LaAqSHsbHvIHa7gE
D2cW5qHfR3mFV5EJ2azYnpDm1PV9PlpfGZOn+hU+3IhoznCQ2lza0leR0eiZEn2/y3q5+myR56wA
hnO63wbyL+v1i5nVZZVRpD3YNGdJENxmzRTn0yls4kcXPRIuoD9AuwCo6te3RilIYY0txZZ4qSAS
f+cfsyryb7wz7xJyR/azETW3bfy3BhaCh8sFlgGkCMv8/pKYy3vdN6Eul5QOlYnqDXCrmHP6+bb4
6KpH+R9cTojhFiazt0YK21BI3kIeEZIGut73gO5Mj91g6yyLspyNzqaYA+QdP7dqLodo9SpYWtNR
ikMw574T58oywFa9sYN2NBHOHkoZ5aYx5voShbsysYTKzgAioKkBJdQ4mMukHAwoyk9de/Bzp7n9
/Gs+2Kj4mGUGkOLC+q5iqrK2qQN3loO/DnSneRUrUF8CxnnCf31wxbwxs7oskeZBK7uNcJGQKWbT
PtCnSrYfLCYadtFssWT6cb2sjgKDgJQ3o0SSZAOaWsfBciJtG1fasuKJjL8/HBhDSXDpDELb+mo4
dQu6PruHsXwqU0wf+Em67ecLs0z8apegDGRDtAXFETSzrO5L1NanuhITS2QPnSrBJzOqWrIFxPYi
8CiaMIAYmJrnz42+3w1oxAO5PO40dP+949Gktl8IZaLOyZqvc+mjmPvSTicimvcLhYsKvVw/W0Yd
3NZvT51QvtdPAy0TsMVM5NjLJKy2nfHbiTbwfaPug/hsyY2jjvfWjJl1jRWIEtCkuQijvEd9WHXz
icvs/bbG+xKqJUi6L7K77uq+rASdG1piLOFwyKHCVM7G37IApkz0FMIFr8OmztYVQQcePK+VfR07
t4SMj/X7KwIgNUpVSyYEj4PVikzc8qbQJ2UyEDNM7anaSht5NIZPimoCjrvf3mQw5ywvZ6BAcYze
rsxU137nc7SYczuP1XTnjLeG+vK5jY8WZpF5XGi5UDb4+UL55f6wzb6beAg5znzsY9l1O3Ngf2Nl
HGADln22dFqv1n5kCzV5XwEglOe3HDS+Qw8V4b8zjL9s2G+nKlcS+yKo6qSajb3RoarOy+zmcxsf
nPlF7QOEjXhUo5VtZYMK1qpSYYdlRWPEPqQ/7lVg6X0hqf7+uakPHoZ4W8OrIW+A7Amm7e14eojv
zAYYWhA3FzsJkbc0jJu9vGjy6FSe9oPA5a2t1TYbaWj2/tg2SX2mDvUQ6cSJxVace1dQk55BPzjv
UaY6kbX9aN/hHC1J1KUVfa07FYJVQw0cAxxQNgLcfbzr3VOKBu/LcKBh+VnuWzBrYIFZ7TzP4lWm
XRgp9xhU6mzH1EmnHWhg6xiFk6hNyyd1PJWFf5/xX5ldbRQ2jKwuSF3DrNzzy4V3dsH2z/vycIrg
42fG+e3th0cvOIPgI6CqgNjg7UYJQFZBi4Y1UHdGUz9gjXk06gjTKuL5u7+td1OV9AnC+HipqsYO
EHonjvdHx+LXL1jlMBgomFThlwLZvPLCdeooz8URj6cTJ/z/MdLlgkKwi2t+tU2DaUJX3rKYPIy8
Q5NCpZuxJHsC7sRNjY0bI02z+yGuvJ1Bk9O6Vx/cxpjo/zUfrK5JZ8rAQW/CGdslylHTlDR9n0wl
j+vut8VFQBCBRnJkGHwkDSFc+XZN+7EuaZhZIun7KkE2gwE3TAlLPvcxHwzoVytrBmtmlSMeRY2I
RO/UgFBO1a4AAOQM2VUZI7da3n5u76PTCIPINIcIZhBurGawnM3RU44AY8pji/OYx92r09wYKtKx
Ttu0uc02GsozNIaK/eemP3A2byyvQt4xZ9R0WiaSglkHEnQXoubp5yY+OAVICeEZC1ZVaCmtA91Z
l7mb2zOPvMK3LxQhTuK1Oj+3Q3Yqn/bhaP4ytYZbWS1UADlvRUTqEZQGtjYjECU3+88H5CxeauVZ
MCLwv4ALEgJXa+CRDWpGn9o4bwD9ykRvzKRKlwIiB31JvfkPcNG/EefI6CX9s5MWKUm9uEjzxEtE
Ul+AsjwV+2DXXFqJE0SQL9qWOx7z89PP4I987puvXfnc2TdbQN3gc6sHAx9RJigWF1v70Hxtt/bX
z6fm7YsDz2zkF/EMBGm6s/SAr8GONSmrTgnvyaEi9lR90zbVvjOtCMAgFAYd1NyDH59bfJuXeWdx
jX1sc5TcWuiY5dnRG/QZY2lekRg0mokZPnxu6u1GhqYLqkGInhER/mxnCVbOp/EsKV2SyySwr3N5
pNYZnb5/bmK1WO9srJ8co2W0sqwhmgy4w0H6Ux7lLFhY0q/ReBeBKSeezPqumPWeE2PD2xOeaFUm
/4990LQhz4r4ep3PkEGVO9JYgo8N3/s7d+N/o1fVIUhAFIo9bu2neMalPcVky68rCBQnCF6hrBjL
jX31+VysVvbP6f7rU5bD/kv8HQ6o/eoM+7Zxqs1Myo0AGVilz0v/LHRO2Hrr8bFT4XWBIDFBigof
hff4W1vKKIQh/RDFMW7rIEY6DuyoOWTcjWjANdTEk87z34rz3ttcvunX8Xk5d/28n6LOot0Vkjne
XRiyYff5LL51if+xAoIAdFAjJ7SWFhwUUU1VY0FrcEYxEPBFUwEe5c+N/NSd/8sjvreyikDsJiNK
dVgrmZibHi0X9/qb/QWiyABwe8m0s3ddjO62aEitZDi3ZIQuqYFtyP5Ufe+DhUQFAtQgIF4LgOle
LeTQc3QCBgGaK+VYRdoLhk0BAHaMeLeN83J++Xzga5eAffPG3GoN/dw1aGfbU4R+qrL45rTo8Lzt
eshufbfyZvZePze3Isv6Oc+wt5AcL6loUOm83TNm5ZPMbbGa9Ilcqme2QTBbBtFwRI8BpMIShHpV
RL+NO6T1gXE5Q0Sx9dLPP2L1Anv3Eet4T0+Tj8f+kmvfegd3N+wk4hS1bzanZCs+2Lv2onYDWnGU
SZCUeDta8NmZLHMoj9RQl491ro1Nq/Jwc2I8y6StNi/MoGUQPYGw9fO6/+UgokORCSbwCofPO8ND
QYkIAu/ht/4pT4AOwuAkkHQiCh9miGS//m5R+ueEvvmA1ab1mFTcmfEB/iiPqP6HaMEqTp2MU6Nc
tvIvo7SUB8ABW55eHt9qfe779/P4KrssbjlkR7z5gJL19c+p/a+X6f9kr93VvydR/M9/49cvHZsB
F4CE5Ntf/s958cI70f2Q/738s//9a6u/dcle21vJX1/l+TNb/803/xA//0/7ybN8fvOLtJWFnK/V
K59vXoWq5U8j+NLlb/7//uE/Xn/+lLuZvf7rj2f0srfoPJS8eJF//PlH++//+gNbcknK/9evFv78
44vnBv/y9rmVz/+IYZgXLVKo//6pv/zT12ch//UHcYJ/Li5kAffgqlua98fXn3/g2v8EtMgGyAk9
wcAyLU1Qbcdljn9kuf8MQWDj4abCew+6CAhFRKf+/WfhP5e6JcANaNe30T5l/fGfj3yzYH8t4D9a
1Vx1RSvFv/742Vr41+FYMLr+QsQCdj48uEAwudqbGrpWfSmHDocdXXSvxcGK22Rx5sYluaYRj9l5
uTVkdAqsu4pE3hle94BlE5BHslVdItIKj/RNuMlwjeQAIyX8Lo+LA0mdaEzItrsDvnMLLaBDm07n
3SVJ+lNAxcXRfDIJawFINdnBBOpTTML1mPqb4oAax6a8yGIek+RU1uBtDP1+4Kt4PcwVKp8GZlyJ
+1leTLKK9VREwvViylpAV7e/7Ms/l/zNEr91s+8NrpbY1FlAh2WJy71ZRPKyi5t4gIx0edHc8bhK
8DY5YfJDi+i/AUcY4ljUH9/6IuRtJl9apE1muytTYvUq8aAPcGJcy9v13ar9ZWV9T7VjBnkZZ1k1
3FPNrkzIsmo3VpSnp+TyTgxovVlF3/CgK7BZib8LypfA+nZiLGAdW49mUaNaeH1RLIKs8voZXaLT
xW86c05Q3ydxlvcK/zVa+jrX0/xYUCovRFYxF+LbWR2NNsgK0xnoFWgYF5ezp/p7Kkyo7IGxdFOI
KfxqM1sESTf1fmwqZkdgziMpm7W7GVnmbisigHfJqPkDsrH1i9FOZy7Nx7htHGeTV0Ue937bp1Ze
33hVAe6+HNp9rayCKKirfVOYkSwy92G0aZW9Ijbt8NrPnYyYTqyGgJAI+outgTJb3brWl56V46Ob
VwgLgY499nngPpGCPjW17s/HofZu/Jmbe941+tANbpZKVqiNA9h5HhE+ZiWUxkYXhMe8S0HNbRex
QbzeiwoDwt2oRqEX13L7BuqwkCd7qnpP7fzWNmJLZWHKetPfcmjZbZtpBPyiqsESTf1Gpc4ws1hZ
YDcyWlukFCqkkZc7JIYQ1JesJPq8lgaiApn1xb6cBn7OhKnOpOjzuGaOt/OKwoPSlKVUbI/zMCcm
H9TdUNcFtMvc/ILafXBDRNEc7QEI9c5CbEwyf74meW5chZk0do0i2S04Sdp9yTq6ZxCY3AhAM/cA
89VXIQE8MepDazhbYD4bkOuiF8vuODiHqYcyO6QBrkujK0Br0ncpVfZ8jsSo9YAGIy82naaDex1M
NPOZ5Mwt7aaG+F1Ftv4UNBu/JPyLUU88j5TJwn01inlKTDdzz2a/GZ+wd8ynspV1YjSGTvzBrcF1
pvEzrDxERpmE/WHKTZmWjTZvvYKppzws63NMqzz3O5WDnLudY0M3VVJ5RQlGCCO4HQIpANsH1XQ8
oyWmj/uiDZ8d6fPDnI0Yx9FjPf3uVtN0GRZ2du82E3+wsR3BgVYVRRyCnArKqyyPc3eXuxBUI9m0
AemBf25awCJERqHCuMwxAaQN2w1TlrFFm0RwxcyKXsixdvZVZpSRpVtraw/mt8Cfm6vWQrM6eFf8
C+5D5Ho5YxlL+sb1Uo/QLPKLar4kGqJfbeiVQdxq72uGvp0dB+VMxBo328wepHBdyJVsB8MCn0iA
ZpAmmHdqZMEF8UozgRz4PdX5OEYhOFRiHyJf4HNCzS4ExXjizKXUSdU25rmBsvt2Rsn9UZuZSq3K
oKnL9DezMeheU6DIyj7niYnvI5FryQwKnqo/c+u8yeKqLUrQs/Td4wQfMaaeQedwK8aaZnuwlRl7
32aeiEpbixyN7VVB0XwGetXAV92djRzeC9SLrR3UeLrYRM4tHZWvk6nOJIckN3eOtHXLrWz8eqcr
lxwnmcEPM781X4yBCHgC09fnplkF95NrDVdQmJyulBDZnlflUEVto4YIS+8akc2DEr7G7a20agGx
tilv0joT5bZTdNgGbS6hPdmE117uWjoCkCawk0ZClpKBg6aJsk7QrQWd3O+KMTRQla2lAfwvrRA9
zNIDU5aQ5Mq3snwrBvsHDRqk81y7ieo+CFNadeOdbUyOjKZmWLpYLEbtrY+vjL1Jy4QUZX6omAqT
uvQv1GjdzlK0cTibKZX8YHd6N/eqi+tgikfonCl/sGPdmvxMWuUlID7fUDt9AGtXpA11WZahFfUi
PCdZfrAauD5GnzSt1YFNqoq4gFQKUv1FNLFWRi2TSWE3RyOjNupRHCAXq44CWhwDVd30br3tRiAk
0QkqaP3it+ICcQXO2HxuNFkKVYAETUI7PpqP3PDBbCvSGUzdPFQJ18YPz+duVLvmoTKxG2sM0DU3
o5PHllxqJ8WTnRd6j+I2jRl9pHYdeyJ/8dzpuclBQeBW2XGR0Gx0mIKV/8Kgwbkgox/VVoMDSZMC
vItQ5b2emQCX9ryRVBzHrN5PXB+CrD70prcpLeuy9odDVwRI+ZPUbCp2I2vBb+rRN4+9cooYlP4y
bfu+P3iUqYOywmLbDQPSsQoehRBPnrVNEZgpYb6KLBusj8yYN1nZq13YGnSH/uwxDYYJuQvIqMSD
Tb5aVWtcDKRpQV9UZ9dUuUhqiLCzEzbx4ICmXZlkU6F2uDnJOXIAWSIgx5xojt/TZQCm7MwLth5T
fEs8HHftkDHSmaMAU+jRjWgKrvYEcgTQN+kSitOzoZmcz0I1DvsGuYSkx326KZ3e3Y/BPKWsrfZ+
380bkpPnru2vaMBSNAygoqXBf1QFGcAJGU9msNtGeDZ06dyVdqolegUtv/mGDKy7GwPaXPShTxNR
2XUTKVaJOwg1NWeV4zXnc43uLdUBrlxyf+sL7SS0DrIxalwTgaDJ50R1DIoKSO9+dUazSLXviQ0k
rnF1tB4/UL80bkYu2A5e5dkLShIXhZHv5omQTe64G9eRZwpNpxDXGDqe9v5s3Dc0cJLW9uGgAmVu
Oq3IdmRAT6NzukxzKqfNoDL3rpOh3MtusgHeDvldVoNQoa+yB5PTadP6jdyi1WxIQ2kLdHvq0frW
N/YrdoK3MSw+nBeMyDHynIKntl/pPe7fBR0VcCx+5QQJWPM8cOvM051bAmkHqLP5taC2c4digrmp
RupeMF88Ct6HiYYmIZKFyNVGJSg4omzwTdC/D4a77UeJBEzuFzuBj9qXGaFndWFad7klptg0tHyp
rYEl1KpUMhOTw0N2HAlGdD3MFXHiEC3F6GFGIJUF4cZEyQvhRSgQ/DdwX7gfKFysP5z3GozaCeYy
gFJI1V+VtOGvdSOhmCDqZuvbeox45/pRxhy1I9p1Ysa0AD1NPkedsp1zpzbNSBkIzMJMe3NUZb1n
Rmbl9TU2FPev5rEwXyAH4QB76NdnCDzz21lPzcbIC3cLMAFlCW8tdad53wyRqjw9xb4a8jyqTUSA
AvyT0F8fJ4B1JzntQD/Ldjku8r00au/HOIa2jJSS9FF6joKcFrFpHjWTTx+8Ye42QJpXX4swHOrI
nbBfTFHqF4eXKGWWOtu4c29fAm/cbieQR0CxVzWhFUvDIlkUgJDMi7mlhy2kHs7KwP8aSL6nNNtN
pRkbRv5Nt8CuYwwqZp5+nZUeQDgwMYkIWg9x6Ey4BISugy2eR849n+ryopINdBwMD2RWHSSj4oJd
jmH+XFSWAU0E66Zy0S4nRlYkxtj3O01n5whlLOO6J22W0jmfH4PJF4mnIEXFZa+OZecFQC+NuHIz
TvdUAuju6VwecjcbDsMckqfAEN4WC8t3YHOp00674Y4oaNNIhuAXdPEThfcc2DOD4u/elwV0NIty
3vE2KA+F38qd17Z14qhSRwWvdewNDpi229zcAibcJSZtyi2l+YAsadcECeuL/JJKy00Jn73H0QpB
89qGS4S8m4aqiDXO+XEsbIKa5CT0wRIoh4BBzUrBctw8eOCF3sve7I/V2GrUZ5GDlE5+zDtoofpG
0+8LbeZbzaHIwkHYZceEVTbmvkJo2RrxNDhuFst2bJMyr8dHY5i0joYZbwqEgk12SQBDweVXWUOU
ofD/xaXovQ6F479yd1BnJcjIHgo8O7dLK3oqtWV/r7yxui3D0YiZG8IFxuYXN+tHI+JtD3mBHukv
MEPhl3M3fx21NQwR6UBwObW+z2M6+ogZFjqFJupKUhxCMB7AeCmCc9ohyASRVb4R7YCbtWTjJuPY
X9HIXcQOOkRHemlO5L6G0N+Wqz6voloWj6HXKgSNYVNcAc0pjkJVwXfXlha6kbkSDeJEo/xSgvn+
SuYgQt1Iq0C4VIPgJ6qZKH74ViMVWKfmlqVeb3c5SAK4HUGcFgE4GsaBrXX80b1kQdg1GxQ2jBAt
AAGaHEXdXmW56La+UTmxRhPJi98I2wP9MtQeRMZwNYhaP3mOQAkVPTPdN/Se8zT3GjAZT8hLf+Oo
wF+SFinaqNNTuTdIi9dloEeBs5wJPIFmEIJDgrBMC98SB2OeLJBs1IhfSu3FIx3IxdAbeKcNDtv5
DZx5xbr22NayicaZud+g2ONvevD0PECrKE900ZNNyDTZ9p1pJLltjIexk86xRpwSz8rM7n1wO19a
g6ljvF7QVtV1eayrprmxTXBTGFJ3yWT5eexrYUfN7HdPU9A9l+4UJpwo57rPSBtDcs9ImUeC+06g
DufLaUrdCmIbuVNCBoIP5BJ9q/2ZBqd9PAPCf96ABRFlIpCiBCNiFvw+2Y+06S99pwxuQUkHQbGB
XcjqehRugtaD60VXPfVzaGTnQOheIQqlaVl4fko8ouLOLv1vjDrGdQOMZVoYWbhHC5qTzkb5MjRc
7Lpstq6ZH0znZdkbUdcRB7EAt1PmOOWMK4nRhNmzvXXNkv9ojYF+p95ILqeOTHdClfkD3sntcUT7
baxGP/iuprCH47IHd1EsJsEF2iiDveON7FBI34ZOH2WPFHn/S2rp/IyjoLQzSkef1V2PAl1nhN/D
Gu/l2ZBOXBUZy6Ki9Y3boOqzeyK7JtENs7uYBRM55FY2ZGBstHgiLR3caCiI7hyfFki1s7I8d3tp
3BS+NmIwcqpd1XhVWoMQ/SgMk2/QT+8e7JHi6kaT9Y0yCDKT0i/SPjetCxYU0xADUj9uvSpD5bmD
V00yRvMwDQXxf4AjOdxSb3IvTJINcV8P6ivNld4MuHsORYugMUa06TlRz9sz5G3LB7xY8aFztcsb
J0M2BH6zQkfoFhzS9dH2WPDVAG35rWtPeFUbUIFOUNToNgUkD3EP1m3bxBT6PBf431Ako2Hd4kJG
b3HnNQluFu9rkfmk35itHdIIZatqZ3W2xM2MZyPih7FooikM+LEBnbgfO22G9g0yA8sEJ49O12KY
xm9N2wFyOXLcwrWdZQ9lmeP1XLu2jnKTT7d+yJojgpL8eZ4zEvtzZcQ9FC3vnDobL1ycqC95bfL7
Ck2JN31buMfB6LdlMwIRknkyYqWUVuJKYzrWtUe3nemeeWUWJlnV6Hs/HH0/LtyAfFd2YR+z0q8f
bNRsYzMgqEwJqi49ZtXbvOoeaDjn29Ge4MbnPkbuO9+PZctxy4pp35buzdgUyJbkXXvmVQ5uDCpc
JEbMo7aZ40dknOVxLGfvbOrNB7AdvYAlejgz6XjThnW9w7u4vKYBzyJrcoBvA8FJ6jRBHxkE8KR+
NksSTXllbEaC7p4okD3SZX2rm2vG3IuQl85zQdG2zKDDlgbzQDaYK7yWOH6/CoPzORjqm8z3yphS
BUSobPMhmp3+sWnMcGcNeZ1FEI3tDtIzM7yGu8y6ht4m6Ngcbd2N82g+h8bgfxud2dRI3NjyaI9G
iAMb5OXZ3FfhaxaYyA8RE6kpA12vX0o9A2bC3PYokQr5QQAevKi8urkqQ6NCdGhp+Q2aIdaX2qz7
q5YNBR59Xr34uMZO/J7KWCCiL6LZ7PBAB2DLj+HEazOCGxijwCNsA9blhf7DwJbO3Ew+caQRbw0v
4ztgo+ltY/AgdW3a79Ej0oBozh9/SLsoEzGNKDkSBMS4GEggUoNP83fRoSXCYAujaMXACBMF04xo
Csra1oWu6mLDRdUd8ASzbmsyuXERlu0lJb3YdK5Jjx2Ux/AOBqvV3lNITlkEaTkWCLSmFAhzy8gn
k7hGBmsooGxI7GfsEXHn1QU91pBVBHFUvZCMSj1tDILalHKs/FKNIb+ye9tGgsnnmwpiRNdl0+cP
3CsBkqscPMgcku06gDzOJqmCl2lyzQvm9RJBv1ufe5WowMQaiMdx9pBhqkrtZhGxRh/pDhFe26Tt
bsncBocBxd87Zoz6W2uVLfbImPk32nfc247gCgRlLQ4XVVnhxGM7lucCpJ8JH7s2RToqePWYNzyT
2kO5hSPtMeka8R2I/e8q6pOj7TNvD5eLMEOBvUCMhfPkVH2/sU2ebybFxGGeHfNy5L6bOEgtbhph
jQ9VF2Bi6VxEdO5xW6DJmA4IhJCTQeRMDL11SwP9lkHH5JDwGSTIszmLKlFQXjyglSGTseFMzpbN
IId0StqndhH6R04a9Tg0wRBrF42S/eC5z33XLgWLhsY1HysgZ/16bzejv2s4M1togtkCZyZj46Nt
KysVRMgkV4P7FDZhv6OZH3zNM2dKMzXlezscyjNEbfwa+q16g0xnfSFs2dwTuxJbOjTlXR+65JW3
Q4anM8gXgf5RFxCdVQ9KTvaP2tLkOBfBRVEWKJejsBTV2gecpnfKPh28UcRSt+2VcPDoZP+XvfNY
khtJ0vCrjO0dY9DiCpGqdFEUyQuMElprPP1+qJ4ZZqFyC8bePe6tZ9hNzwiE8HD/xSgWH9qBgmLY
4VhT662wbyFOH0zpq5I1d/JYV1dSKrVHre1JX+mzixSXMZzA3tUUQ9eqTOUoFZNyq5nN9IVnvOFw
Z4nHMJabYw1T8tgVcfwNSzr1pojU4DrWhnGnSZX2U1Sq9KAPen5NGVGzFS1Sdp05he8TPPeepHoI
T71VWvfCLEzsczT/YAgh7QBt5c5sTf3oZ4J0TONAsRtJRxyEav49if61NQnNVdqnw6MUtViizYid
J92gndIBSw4UZSjKQxr8QK4/fNfbOPH4O1qviObhlxrqiKqYBSoyaKTJaYGoki6Md1ovV3vudt2m
YiR3dtMMPF6rvL9HrZy2WCKVe2HOsWIzqaTZ2qx3u3nSI27wMPvKS81wWJe8gX3rQVCbxjPrWXlo
uyC4j7rZPKlB/M1IlGrXz8pSDZ0TewBRa3dT1pwMK/gZWb7uKqNAwgN0y5mD4XsytP2PSpbQqJsn
Xtt1TuI7Zuh7FPl7s6uKex1Tvu8hwmEPJnJmLd7XYfbRMMhiqPUaV5PFyu3M5kkaO9lRxxaNIF8O
H5VOxCuzNnGvjHmxdnxXKvWNjAW51n2hcGir5mS4XRxH7wJklb1MhZuI7vwuQqLxCvN6gY0UKjd1
wGMkF+/qQX4UpuIqltu9WpWKJ/o8cjK5y49SWVCpMWxrecnNahqehEy3wM8hE5D502cEr2MnUYvE
bZToMRXzxSajnm+aqf0uBNYNogLwIub5UJbCAeBl4IWx+jgpjYVlrz57sQSfUDAPna++E6JuT7Ug
dFQz59EwoyrcBNFVPFQ7tRzvqpEbLCOJKNXppM0Ppl/uGsk0DtRFv8tTj/4ZmWxczE9iVZf7aSh2
ha5M+FW1OSCDKnYGibYK8sXRrzwJT2E02VOY3Fapuku7unENrp5m1o56PVlekvSfskjV+QdJtzXd
/yTQmv+GNrYEryy1KFBoM84G86OYKIBjM7W28U0VPTjwFPVwTbPTPCx3sjBfm319Zwm6aevkebek
U6OdhdoTcjReZA47VUgFyrzaDdy9zwXlthCHPQ/wInmC0X4vxFC0W0Mbj4Ywh64h430H9cW0xSCr
HdESOvTECqdu6z0C2HbYNafUEGlgxYcuwtu3NCtsEDMaUIJoTG7VKtjX9e2jii7APQ5Nk91HUXFF
cb7dV0aRfpCFcXSCTOodytuIU9Vp68CY7L1RS0HIU6O1R6QzHyRYNl40NfzMlDLR0OW7oZbe5ShK
2TXlHM8qtMQW6fd40MJAuU9x4XXBfF8mopt2QU53ozBsScWJIlMKw2kVoXUxUG8oWbftwTJbZRf3
kvAJeXd/F8e1xEu7w4M2NClMojVaYO2jeRLdCB7/SnWlUVTfpU0JjSDphXfNHOYfpUL7rEYzeWbg
Y+znVwEPtKov7bbK4ytfDApXycefekWNSBiLGPk5/G51MiJP7mTszlJZvTdUtvfcGd2u6NXGztpJ
PflQIU69OaRHDRYBN3Bs7EaUStyq7oQvzZT4bgdJ9zqSjMILQ7/Z0egQPMFofoZNrnkJZxs/lp5G
0JdUM+UhPXFt6fbb7dpVOxgPbmQ26CfBPeCjaNqqhV+oDZlZCp47kW/Iahx6se7bEZ4Vv8+a2+sQ
6xZ6n3SaH9VD5soPEk6JyYPiKrvGGZ/8Y+aIx+L6s0wf16at4OC5vpOQoGgpdmz02BfQ0PpXAEaT
0OnlUIfMzp+fgYp8/t+u89vMFQLhmDeJQ+vwLi6649ujvTSf52FWyNu/xWBbg/CfZ/R3EE1cBfk/
BOG/PYva8y87n8X/BX1qK9Tqg/1NAsUzfWi9LhCGg2wIJxAfw+VnnI0I2XWzqWeq3PI+fD9e0wwH
BFoeu9vIM490uG9GjzL+7CHRdFc69KkOW/ihl3A3/flrYgMAVAIvaBSalj8/+wVNPiZ6OEUV4I/g
0OyTPWf+blvK6yXe9FWYNUkQE4qAg1Kp3Cq/7Tmp2/R9OfiYL2/4rzy7uKxnlNsZ4UTq7YuD4cvx
JEGX0RzMcuBQweMyo8UD5VHXeMr2wT6hk+bWoGsDJ3NFt9qVjnBMb+pd4BZbWKgVPOl5YpFKBkzM
0Sbi/f7yh/iiqZWd0JZMLJo9jW1+jZduF+1DO9nX3uwNIMQo/2AACnooPG1BbS7u07MfsCbL8J7v
pNhkJpS77COKngeyuy+GN55wU3GmnezW+8j9Q4nlf40aRRDFIi+U17jicKIaj91Z7gbt96D4EPQT
DPctPbEVvPev1YSozn+irLaNIrY+ImYRflo3ppPYwe3gRVeLY+aiYzoeMJDyJCdwzLvkvrmPdluD
XOtqPI9yQSHiYK5q6NGs7i0eVcI0i1oFjLt3h9vhw0LQ89/5yDHxirzDmHPjGpMunUeLihtAR/CM
cHpfrqaAXoE2pKhCLCQ9Mzkuvrvq+xS0hEvqKe70g+CqlG3/UKWEkaJVAPUeIRpkvsw1tFhpCjke
u5QbOr8K5Lum31KCfD2wlwFWU/m3GMqvD58XMfTVVpxUoF96CD21FnjIRLKDuu4oXgX68e3r98JX
ehHIWPCRZ4fp/w0PdmN0xvLnZ0H/N7RC6fWh9mKAa6jgOVe0dznUNrii4paI8MZqWeMHs79DLXoV
g9cmcN6F14OPEafYy/kc6nwcpDIquUHM0BGdbrZTN9wlyKJ4OpJr7WPmNvMmnPVV7vYy7PqGBNQ0
BxbuYS7UcTsfH/Xi09urcyvA6ghp50atRt/M3XTS7ZHyPXCwjTT31VJcxgDtS5dQjFsg2S+nDlAY
D/hmgbmhbD5ZIyxX1S1ypMCtLXv5C6NBSXch0C3Ab9TNX4YyEOmbfczkXSOB0S7o6qEoo69vz9jy
c1/kEgwCwZblEFRkhrQ6m4I21hMsd/gkvNptSQ8+0zF1yqm7nkE0gVMEbzWE3/r2Dz33FmYVQiRc
cNICUGcNvhxc1oRBm1NgAztD67qbKUZbvOXeHt3rW2yJsuDVUc2khrPWAY/COUZYMKYIAhkJEq8T
XDX7/jA6vTd/5anibtl3XdhZBOQWI5ZqGOv8Hb8MaooqAbW4bR6UOBJcigj6AQJ4tLHYL4ZahBzh
quho2a4+ndnF6Rgi5ONm/m2BbYlC830jw7uwArGNA76nLvOHrfTLj6TIpl8LAeeEViDHbRQtztXF
r41vdGEcL4IsP+LscEdOq8qTmCBA8WR78BRXO6Dk4H3Xv3fHwQVZvwk6v7CJMbZCwAuxFWqZ62Ux
TcAofPQv2FlApcxrvf5GRd8dxp9vj+3VXQK6CjEoLHIYIQzhZehnQysjqZ9HBTi9qBX0zQY7DB6D
/DSpBS2+3hVDdfd2wIV4st7PLyKuzgyRtq5Z1ZwZA8c6JTm7crL9wvxXvOlQHTaiLU/E1elBO4IZ
1BDbh2KySgaqGa5UYbDaW7f6OHnatWSHrv9DvVNO6a3oqgcLVl/lbcWVL8VlNy/6gsvDTls9XYtg
BqxcpoXbfw++Kt9HaPKkxUfVSXcZxFCw/YY3XxmeeRfcz96C8vdvKZG+k58st/DenoRLa8nSZQS/
QJBQ1l/NATU5WQko0rk6eipahSJh9S0DEZIOG1Kil/bJeaDVZtRzqx1NlUBTMuxbaCB06NwZUPof
jwfhAVJhmeEYeCq+XLMTMpfBUI0cjiN969QWoqco2YnTt7fDXBgNW4JiEUIVJPvi6hNGLRruECUq
N9L7wpa5X+JA+zHVwsZwLiwVVomMnAJaXovxysvhLK5cqLyjRxORc9R0LlXrU62fMEU5CHq+//NB
SYwFTQoWJSN7GSwS5DJoU3afHp8GyrBU/xYXZvvtKPKFSxv53oWlSPqG2+tq7kAgTYFZhuRoHhI7
u0636S6Pu+YrMjvoCsj3yj65z72Fj0RR8G70RDfZjfvsvkfLvHainfH+7V90YQ9QBpDBMlBhQVZ3
NW5Zq/GC0oIMh5ncLukjBzXyHwAnpkHeGPyldSNLyGRZiAtxM61SvFLzdWMUNMD2g3JdlMGxqQZP
TOSnt0d0KXNAkPh3nNW2HrSylwpBpBfU2dnX6KA9JXvrpvvce8bDUj3S7vUNEvjlkaFhtRiXYNm6
iggMF2+UZgSdN0e7Mv1c5OXB7zeCXLjRURkV0RejEvf6Wa+jx1bXWHC69E9Pop7cZBkFm7fn7nn9
ra4FgiCbimS2BT1ytecEqwYW1aWVyxPDvwfUr30OrMQ66FlXXyUjFkCzkQDVmSbjaMRj5pigRenD
UItvstm4NkPah0jUFbZoRuoxlosgd6RKkD4XdRPFu9aKNM8fpuqQSHF4Bz2jd6UBfswYkJXvuqgW
v8HEVj6NudSchFJLvLYxQq8U8vgmq8ekoEHdx3u5s1qn1jisQbgah0GuQwigmbpjF7cIbKZ0iFLR
kH52qB3zl4fGXpBTfUfKbz42QuEfFga23Uva9BN+iHFoajl8kNtxOiSqjJFYXPvv5ESYHsSwM3cz
3KNTFQX1McAk/QqFNzpYiVy/U4UKU+Mh8YGjxdIvIYwAZDXg4ItQMIFHReysssqLx8gU/HdlZtbf
smiK3wsdx2UyCBhvFYXhDVlCz1kagiOnYf9Jp+jqvf1l1/JCS9aOqA1PBsQvqNIoq91XS8APn58k
rRu/B/8PkE9yrafkVGDbAo/pa+UuGdvQerXTftiq913aIefRVztE7cdJCwOxdBPhaWghsE0fsmHL
yOTShUEug3AAmhc8HVaHq5BHaYT7ZQUFPLltr7Fb2uMq8DlxdIqq1q/A0Q+Ra7nTfmNqLw5uUWag
SE4moa4eRJ0QpohA10sxNTj44zE4tQd/158WIwqQPbVjSk4nOVtc8AspKuLdaHEh1gbh/bnec5ai
VoYgRirQQRfg3jEPx29KJO+0MvwcyzONQGumnGQKj28P9nUJe1lHXBVoEGJPjQHGy4sSWHkUiyYt
q8GBGiF4za/uZO7Vrwba107lBIfuxv9sOdHROHFvwbzXvDk51jbF7E3D77Uc/l+L+uzHrHLmYfbD
ysql5QGifZ+fvzcCpoFNU/8atX9YjBvb6NL9jX7M4uolLt3B1Tou45BsWpmWT90eq+eGBJimzVfO
6xoys4yU5KL2gQE4u3Y1yzT9B9ZU6ZqjnSImpTvFDWSHnXyf7YFuO8bJG3birkGvYXiKNyu6l5bW
efjVYRHHhUl3Wll8dwJkkq9EYURN4Unxn8LmV6BtuBpcutnIv9E1YVoXf9yXg5X0dIg7HyCppn1P
pI/BsHt7zV7an+d//+qZqmTIjDaJBVsjUx1hjuxg0foAW/h2mAvDWJi9aHJD2kffbFk7Z/uxnwfD
LLOImjfg2qxoPMCWGwKdF044ZoitTtmFLbjuyI3WJJuApAu3ksm8AWEJOPNFNVjh20nZWOoXZg3t
FQzYyFZVOMur4WSyPtZRmLEEVT10AqvYzYzP1sd243W0VidYdjF/Peie5U2v4ML7cuK6EPKkQc7G
psp7O/btbnTzXX+lu+Ftcl/timNP1afonezuz8RJ6NU8h0YthBsDNfr1lZEFARA5QC+o3mV2NjwF
lAPfXhWXppE6D6xvZbGYM1Y7ORwEwMTmULpli42wegpn8mzj3d8IYmqL/gi1EQ6olzNYWtUY9T3X
a27dtOZjDay423Lmez0Q1gGPBHTnyQ4pb76MkUxRmiaYSbmtPsUo8+g/9NDwDAn46NuDed2o0IiE
SS0HLKhSkpWXkXop96N+JnPqdzKVkOB2eSrNyFr6B+GhfIztZLd1rl+4SV7GXL2dez3RxLgmd2hd
zbKjQ7rzXX+XXYsuBRgnPv2heAILj3gWcoEyNymF6VW8WBnMSsp4CM6a+DHHYbqojD8uAS4haAKi
f6vyVF8d4gD5pqnJaJ5bs/ZR7bX3TZlspD4X18RZiNV12JHW1ZkKIwPz1Ct1jJ+6VLnSIWy8vSIu
hTEW9XfEkjS0IFYjCUNzmMWJk1WGpS+F4MHznxA//zwK8mHoqBIGtM/6LJj9QYMSxtsns96F3dHv
AO/3f3wVgbA5i7H67FUjxGEtA7VR+/jYTH4CsxaisaTVn9+esteXEYE4cnBhxq5QXtsSZYU6leXS
7DAizalkGCJght8OcWmfSqhBavifsVXRn325T9U2gdkCJ84dd1CPdkjweD3WP80uOyIsZ6de+cH6
sRHzdWayeG2An6CzgmjOuvmAyEAXhAGltPy6vB6hfdvGLsF0rvQoXD62+/B26a3XTuBupdsX6gqE
XjYSdzuX4rrholstGLqEKRWyycsUrqO223VFf4A4gUtgiieTj0+GQf8NGF2j7dNO2+X1FyMJjm/P
woWPa/z1aQ0d3fR1BW6E/Zxzc9Mb0Yf3QDw+oQu+sRkuzfN5iNVCvaQ6T6K67/vwD1TnX3dw2d3n
UVeZAAjXbpRgN7qa3buz22D9ah7jd1jPRXv1HfIkjmiL34DBVV7y7e05fY12WmIvFxsnJufyutzo
a2Hbo1GyNJyKj+1ROvj74VSCZYjd/C7ctTY6JL69rK/WSR/Mq23NoIuf9ewXLH9+nkDqRjiWKb2N
qfxldB9U5cPbQ1xm72Vx5+UIVzd4Bu4yaxMDPNdkHaL6Wu5uSz+5hmVnC5bqar7mWGXw9HbQiwvp
bFDrJ9oQNGanMK1aEE2QmdAtzcr4ZNUS/yCOB10pPpJPb9x9r5GVuJQgnLVIb6P+jsfgy7k0a0ot
dWDkiMnY3a/0h7WbgVsFnuAoNx16U9Fe2/v2uO9RwcQ7/PnE2FpSy9BezDe/ASMNxO1VhQR3ndei
oWKoOnI/bqKWKOVY49fAqpyplTiy1D9+5CzBNJnyP1kgXczVgIMO0ctuBq1a+clBqf0HvFQ/oBJy
//bnfH0KruKsFhEkF9GHj0hj8a5326O1i3fCo37f2uInhVnEVkf48XbI5Ze/msazka1WkFyVNYT7
sHSjML4r/NQTOuvwdohXCcbzoDRq/2x/ErLVuVPKViMFUNsoe8KILzMKcuZ33UcI5+04r95vSxzI
cJRxF1+NdWY7TGqnSnOfuuaQQzkJ7bYN0I5A86O/FbDTeTva6wt6FW51iBezUCO/hjTF4Axe2zsS
wuna7eiMHvyxQ3Os7rZ1xF8dMquYq6kE2Y6LkETyru7rY7MXvG4n7OXDVv78jDh5tSp+T6W+evJU
yjACTqXmjtYIgv7SQT3C3dltZ+pbs7jOo4W0E6w0ZBZ50Qso5yHncNDv9TsUn6/DmQ5NtkPFwN34
dsqlVX82vlVyFahBrQYi2Ubj0TCUvfmAAssezxxgfDqXzxZ46XX/+eWHW5f+yzZLOksOKtis8V5K
Sgee1XVoKl6l/OzQowjE8UYuBU8plP3gF3bfTBtjvrQLaVyKS25HTrnuRQltjQdUIACLKFMnFvam
So3x75yTS5JBQYg0Ul+DtBIzyqygowvlTxT9Yf4N1yat342vd+HM4h2xWEdyBVEmXO2CsO7LNMss
OkL7/lrV7XRXOBbWDKrbksQMkPAOW0rLF2aPkFRQwEFqFAFWr2Yx6XOaOkjpU3rCG+a2jEdbLI5v
D2ylEUzBhGqzSKaEcqYJun49fVFbyJC6eSf7X2jyRAe4j5ON+d37dtnsDmww15PvMtDMRzhKthO5
8nWy27SFWHb3ave/+Bmr3VGqkuSXOhjb/BpguAOJ5zDswoO4fc5cnNazAS/79CwpE6xBSkSFAS8p
6fARWakvi1Zu7yyqlYqXetGu2EiZLm3FF6NbVtdZzDYwIbSlPKzEPWx8D6WsXbaPn4ojyemHLaTQ
6/Lb6pMuM3AWLUPWIG39ESDZQyvbPZmvPNjt5MoIB/1AvYRTtdzrmW2qeyu25y0XoM34q/udMqNq
oVZXc9JFj8i3qE72kH9TrjLnO75AkoO+AqJZAU+6LRj8q9x0GTkWKpwCS0Pj+ZedjTxuOmjW80jh
2bxrLd5yt2gjDAAPNRx0tVjz3t48F67GF+FW17Gain5tIRrAobCwGcyjtl/60Vsmh6+bB6thrQ6f
VgUJgiQIWcWEBTuuvG7GCzmPHflU3GIswmN5UX1tOeGdwo0wE6l3b4/04vH3e2LX6H64zUgw6fwC
RYxlexz8rxEEv7djXNyYQNxgp4g6OfZ62YboYxACLkWCRYOvfRgbE0BFvXEpXRzKWZjV6myUue5U
o6ghU8tHxZdOZdBvFMC3RrI6uUc/fca3U2nXYkA1P9K5RO9h45NcSD0xlfk9XavFh0dzl+kqj8se
AZlGe+rrbx1U1CR9n20BhC6u87NQq/WnaPWUw2evn/2BpEPL0QwlcPtoXqb+1SWA4hlCIHQq4Fu8
PLhqvy9rVYHEIp7izNFk+wvMDk93Ozd+bL9S71qeddsskkupJ1NJs4AWqCpTwX0Zt+M90qULKym9
Fml6Jif9qOzDQ73f6k5cWhgLQwc/IIzfOKBeBhqr2qChlNPQLutTPGWnEFuScONFd2kWefVgK/AM
LllDkuJ5UHq/R3ew0TRnWYFJ8d6AK6oaGyvwdY2dc+k80moJWkoMsN0YahcFv3nXHhdHitaePlXX
Cmin7XrKpSV/Hm+1DqOsHtK0iEFg+HcScCZdTXdSfesXETqlGz3Mi3f2WbB1YTI1qmZAmGO5RXtI
nPkOFQfItVRCeR64W2/iy3PJwUd1gwIsTZKXSwPRKyXJFSg3f6FFwXrvl6Xf2tTo9mS2G/WUSysR
3NF/wi2L6OymNJPSnGOxyt0ZUb1AQWuuVbAt/eMW6rJCfodZL3gsaSK/M3uKGALvHP8u9DcwIq+r
fM8RVCrHcAHI0FepVQLH3mpi5k1+EGu7uK138knZYQ9+JNWwpaf6INzkszNdL2Ui1D+/ITO9caNc
Oh4xKvnPT1h9ujFOM0GGGICmWnoMsSS2kYU6BaN2UmXUHgIp39fINY7VFgH3dXl1Nfj1VxwmpRJm
+FILT0tFAr48StfAN+/6Q2iSaSkgZEJP+IGS6saYLyZ5Z4NeU7XUWS9A7fBloSVIeC1VX5aG3uhE
96k37zsX5gpocTbKxqFz6fo+j7u6I8Bwq7qfETdNH42ytlup2xjaMmnrW+g8wvILzrZGYfVS2eqI
Y5U6yZa/CCZO5r404P9Lbe28nfRcKkawQwxex+z8RUT8ZTQjkSuEg1k8dYGhkK1AK1yeP2i9O8WR
L/t85d1tfb7Ls/g76vrGw3gYeBsnqWJ8aBCenIOtF/PFs/psXKvvVGhNo3Y4w7tGGe5E6RCglSEJ
vZOOX2VeJRuzuMzS62/2ezyrb9ZMceALY5o/F8aaxw4gT+0hSOb0m5bjb08dLfqXHwwazigEGXgp
VcX1SDfvVeFfBh0YbVy2d7i8Av89Gk1ZjUaj0I26BmTLZAbWKNizhUJuItoBUo9vT9zla+B3pNXR
ZZl9P/UakGx/hPmt+hPwzJhSJhKDW+D8rXlbnVWhkfe1brBxY4SfkQCu5GljFVyMIINskRE9UOBe
vPwy5ThWg4FsiiuE2cHQqk+jNv54e75e05yXE/d3jLXPadRbdZQ0fP38GqCr2+1NENaj03yI9o07
4fRj6E7/M92XW8zVywmCDg4auDk5qr4anYbXYVDV5CMIkZTvu/1CAq4+wa37tdRlEHA8vj3Uixv4
LN7qe/mNLiRGx8FkFDdDVCKWc4pRS87V6CrYYqBtDm75MWdnLndl7Pfakkm+i261HTJcrmqPJ+Uk
ApIPNmujF2/ss7GtEld11Nu5HBhbelwe7u1B20veNrfp4oL8HWZNT/87No6X7w8d5CYIFMRT1/DN
1iylqsw4ycnBe+rmuYvML2Crg+F07vjVv1rmL9x44F48oM6CrtZGNxpDoTTMX47zS49AK1pkMc6c
RvLHSJFlvy3wpAXpzLtwdT0mnBmoHxFJyO+U/lZXvwv957cX+sXn31mM58V5tvj+J+esdhMFenE9
LIbfmo5hId2pl6s8D8Y8rlrAIiKMwStTltvrvo/CeuMcfA0NXybtd5y1XaE00/VKlxxpcQfKKXCi
TIWMaeIUHFN/LXXjvrMjCPz7Unf+hb36f3+p/+LgX/DT/7O/1GNU/GNff81//PzHj+If77r0hcXU
X//1vy2mrH/STSD1g0hGnQaA+2+TKeOf/G/6yxjPY1wBPu/MZMr4J3AVuimyBKmDRw+p279NphTl
n7wdJZ32BJh5KKHSn5hMrS4AWMjgUWEXwAujtYIX+svV2veqGGiDNLpJ5qEtbQ8FqqVoXwnFYx5/
O5ul+78ytXO3o79Ksy8yOCDv2oJAh9qqQkNbjuyzTWjVNbrZQ1J5ZWvcTWGE0Dsu27UxVyjxTZHy
uRA71Go9Jct7JTjILPI2RdJTz+ZPlZLXjZOUCJaiHJp34q4LEDXWHMTtCmHeV/LQWBpCXhTF01Pg
R6IU7zqrbs33yONJIqYEIQqS6GGaTWu2dib5ld/bWiEWBbI4shVkgj1Ew9zjXJCZUosAXN2KXwIt
PFSYvFwr6YzYS5ej6mWqjSDt1UBKBlstFy+fuaSXbydZci+HqM/pCGl/mHWkL2d8gNQhK/ybuEoD
7RGMNhY2vabDYJHaG0WtTf2Q6UN0CtMm+Sl1WozYni5hoThJJrpdZRQZX7VF30tPheadMCD8ZVST
ZafPimC+2vIvxTWVwaQccc4LEK83ysfJn+t7VmaNclttOWke5DxxcnxlBmgVUhk/JiMOM7rSVr6d
JCOiwnIs3OhpMe/Dit8gYe3QhlQd6xj39UV7DZcfygey9qseTeEBqanKhlOOJlpfe40138VougUF
ZX9sP74JiXQ7zHjfGGJwpS1CcFbGmIQcQdNyum7RdPeGfvGRXlTkJH3CHkQxQtuU4vQpLq3mWyvl
T2oS0X5rlK9hM4t7MzKObd4fAtRA3RodO0XPJ9vXoqp1yyC81vvQcPyu/FSKTWWrofhjKJCub2rp
IZ+Tk1WKJ1Vvv4fT7JLf2UkdcJvFGZoCYnLS1OarlCMEOA2+h/rzO3HEskq2bqfRpOIVa++iTEhc
8OLv5bEP9kpaIedupMZHdRwCh1/MzgmryavQTLM7ZIXfD6Um2Vks5beN2B1J7FGJlvtop+TpsBe0
tjgogX9S6/5UqeInYZLGr40qF1f1InBYwyxy1EX7sG4ajG0KQUo/h4tkYqINamunQWg+RI1efDeE
bngfKqMYOGIkxF/lLFQRItNy5aEb+ym6FoKu3A9yl2W7CVZVZOvpdCxLhO68WEbIxNaFAmPSGiOJ
42zSSXoWqvSBW8l2m8c/NSFw5TiSJNtaRC6jEo8TRyvxkMEUtimeYAZPia0t4pnlGEg4PTSiBhHL
CnGbMcLAPDS44HiSXFn2PIn5u9AfHvrUrI55nQn7sulx+6gW9c/JUPzMkSI5ZIBCGrl6Je4kJY0G
Z55wy8YygRoTau+41SzCo0Zg1aehDeJxN0/Z+IB/k/lZEJOus2sRVeuDUVq66EpWbd35Qz41DhgR
RKqndB4wW4JD9mQ9i65mCmp9bmeMKJZniYJMnzX6saMuuq7w3VB4ha7/CSct61YtRaFwTGvAxF4N
k3jyhMGMv9Qm3B1PE8QCNe8i/6UYY7qbLT//iN4NQrRWL8zfsrSq+3d9KIOj4lDCgVbGgcIe/Voa
vKlF+DYTuwJPyGqKbhHKKXdT2cMsjUtae+o08q0iToFdVGN/USEua8PXZpaNRX93GCMTp5QmO8Wl
nhReP2bNQ/ws2ts2wUSPDm0B8HCUpxeDJGQZS5buez3XsrvSiO4KDVH8KamGzk5Rf/5sBmUB6Ywi
M2v4Q97pFpK3porPGZJzkPhKKzN1R68CzARklZqtXQ5j8KvLBwErikJrS0dqBxRApV4KaUbWMdMa
N4e6kqm/P6skp7WMdqUipThtWNmsWqjZGcMhT/RHTQqB2C4azMgalxUCO/U02q0WR9M+7/rWQExT
xYADYmWtuknXFCfpWQG6y1vrUKXjz8K0OHCelaILRY6BsSXpY7wISWMyMH6pFpVpoUr10E664FuA
kdit9SxJXfiJPtpDg9goLlW17lCAQxt3nGO3jTJVs7UokWxajtERI4vMsfTQxwhMKbE/r6csP8C2
hOLT6jidAV100W1nTcjJeBwEgWfPhJRvYOoRXhG+BYoPUe4oMaorxB+Nm6Lg7de1qfDdKsckWRYa
At9FqU0fjEX1u2iM65nF+bmtukZ2E5Gzgq5/fheokXWN0aj6KOGQ8iHVc/EJSef+tl7Exs1Fdrw3
Zui1PsVKqMJ6oswYwzMp9mQgBuqImV4gH/Csb54pkZZ78ozxiZMkCdypeuS56kyB7Fc7v6n0z9Mi
om7NYukFs6I0WIKkerFHF3GKd1pnsM3QUq87Rx/aNkJvFhX3RPXvjWyeH4dBoI1ppbUuuHKdzzs9
DTu0ppGFF7sy/eUvevFjWhfjHuogjuJmJA3oeJZ5mHlRHRVU7Ac90BxZhYRkh8jl57ao9npD81Kf
gr3QLLKYXS9IvS2WhYJPlT4nd2KLwYpDW1IcAL21yKI3uPe1zlxIeJvhBVLoroq7BRbqSV2WV72c
iQac1GoSryZOzZnEqJXxn6rkaHCjCmdAWzVC3NSGPNOla0nO61/5LOvDLvd9dq4eNVZ8MLlR+Y8a
Xezs2BDzHoHMun2vjAiE4wERqcle07HW2IW5LqTIb5a+ZCPVD4RWFTDgsQsFb6Iw0Nofej9G4S1M
4k5zBKMbxuWuKgQUazmrHCEcg8c+GfOToYR1RFoCGOQHTndl+1EsZDU4xEI2PkolaoyOH/B4vQuR
raai20xTCZM3lM13rPhJ2yn0aaenaMbK4QHwI+4RliqIvaO1yucAwVc0EYYhGm9jzBDgvWfaYRQ7
fJEVcZa4nM0q/i6iIJ5RH68DXDt6DW4+RZX0Lg1KMNZqowr3OGxm9xmuB3EJ3p0BUKFC3TTK+0FF
VK+TxeQ+G5pCowI9+/jfoYVK6T/P5VMvhL2604WqiA4lV3x5k0dDFpwMLUp3EXnNFbpBXGDZiAcM
eqSzYjO8ud9NhaJ+nRDnqTy/bIubiaz9kylVIsziwmpvBSvvKqdrkKil0NOqiP2rvvTY47/EmSdr
ebzvcC26D7CO2teMSLjyY556mP6Ud30yt4PjWwpEPyODguVzeZb4KlTIE0xFXwb7QI2D2atqf0Ix
leTlsYkp/4lsZxc6COdI4WMzUUnDPiqj4E6NxDl1i3burlTUg96Zcqr8MPUW1r9VG5iOFPApB1ui
wHdTJJGmO7mB1DNmKbnC7T0U8vtxEFvsAFof66fIp/YsY3Njs006bhoo1afGF7C5Y18B0/xv9s5j
uW4s27b/8vqogDddAMfTiaQo00GITAree/zN/Zb3Y29s5q1MCjrBc7Nu90VUp0ol7QNgu7XWXHNw
nhSHfsaw9l4x2tBhy+1xDFomg/JGxg1H3TXJZAz7OpC14npid2HnatUmB9BSNbQemsMwmtzUq4Ve
2kLPW88e7Hzc9+T0ku9FGku86YA352tKPFVQBhIp3SUmxvRenhSBfl/E6gQ9zZB77bYCpTDtKlvP
7vNeV/t7cOKx5oapnAUghGQCl5QzPvgBWwPLcLdIlZBLPliDNNgHTayB44qbpt21g5LfL/piYSgw
QSnxDa1CLGfOYzR4VqspeBhHAZb2m7CK1fikzaZCq0CGMMOzIyWXDnHPbPCGCe2+ZJWDcmzw9w/c
Gu65ZGKn1HLdA4SCyUbWgMnY5D3Ur9smNu0nq65L2FWZLiBRqQRf63OPYCgkiqmKScV7v2aZA7vh
O8yy9WcB7f8H6/8HVxoZ5493gagATv+Cg777Qaz+f//rfZD+19/6d5hu/wvzEOEtSUxNXlmIEv7N
gtb/ZeK4qQrTTTq/VJk/+osFrf7LUEQHJH3rdNjJoj3/32G6av7LUnH6cgxbcfDqtP9JlC7Svu/i
ZgwThfEO9ET06Doe36tyBO0FqpmZekQlR/emxIJ6lmH305ap9+7NnAnR0R3+lhGA0qiTj6BB1OKP
zVX+qlPrWE67aPCjOdiFeRbuAZ5aXyUBpeqcFpiDXRRwswS0appSp3QtwbSK4QN5huBcGYJ4NU9D
t68FBaskWN2bwk+9FoysLB3Tu0pwtCZtzja5YGu1kWzuRsHbivH6PKJU7I5YYWETIbhcbPPyIRWs
LmliE+TMS+huDeE/CqYX2BvMq+iG/QRHUz/JGS4Vk6XCo9bqbw5sVD8Py8V3uNdiUS4YYhJdXDct
Dm2f7bCj5tcmeu4mgjuGCL/uYC4tg6vM1bibBaXMLtJnanfOE6B6k73zDXFmmWGgoggV6DNDUNB0
wUMzBBlN7/v2ThW0NPyZ4Ta9IdRyQVMzBFetN0rpqRxKNpv2DbzWV1bwVZdFSBeB/P4ZCkYbmYxq
T9PutJ8lS7np3mBuRsVdugAEB6dNXSAQDIZDr34rKHBtq0mVH1Wt8wx3brizpTS/yrHgBDi8yC+Z
QMoZXdNkbhLWkOaqnFPC7QSALrR0/lkBpZuyYGIPX1pkwwZN1yXwOq1VLHcoNIoCAm0X9ZVORw24
u0qA70ajs73qjYaXSNNwbZh0UzlvtDwDMpkXTvVdE8ebsKi9Rlo8oiPwvoKyN1sJt8lFbe+HoW28
RdD4AiCS/mTSEVtpcf8SCmofenvtMRYkP1IN+YEIn+NecP46yzJ2Um9xwTMze1tZZGGkJSCa6how
gaXVfs0EOHAhybaNBEwwUWX5my4Ag+oAjCmvK/OLjOmsD79p3Ez5TJ8HJf7lAKul2cTS3MONFPhC
aG4zJI8wdq1lVJ/xaW8rER4MhM9Su9OoRx2DIEg5RQjEpYSrSyWIiUnUGY+hoChOECE3RTOzMIKA
WwMah20uuIt5Hxt+JViMPacUUnUBaHTs6cjb29cDklwT/5a9yQvwYlN+btqh2DuC9ejYcQuSAv7j
bEGCJIkXb7iotN96bSi2AIXwWE/Nhku2wEhiZqXTzJxuB+sqqXLsEwVw0rbG/Bov8/wq0Mb2sXkj
U1YCUknrZn6DxZqxz4fqeRYoy7oDlYDDW7mZBOiyg3gZEC+7YwBVVBpMVr6aAF9w7hMlegbJiZ8K
5EyqdRM/DJimyQG8zQRg0xaozUBW56tel7n8O8pG0YjuDMKTQ/FG6dRyqd/JAt0JStnaxfjo7CoB
9sT5iCNSwD5tB6c3vnjoG/IiXUcCCtrPeOo7nWwfG4EMVacKtbhpAhJtLBKHhF7yzQhlVBa40VZT
0VQIBGlV2MFeiWV536TSJsha5xDWFFsaM+W3JXPaX7UCaaovC5RSgTmNlbk/5jXoU2wj+00lcKiR
nqqnKdCa+wh57j0YhiIHxDK3+r4vLNCjKDmik5E4P3M6grwaVtfeUYwKJkhT098VKUA/5dSFEx5f
FUsAzdiozJs+MXsk9VG/NQv0a5KsTkcSY4TeutYLBncZbgiCoyMC2M4vlmLwNEHKVZwo74CUGqmB
wkjQdKslDjaoDXOmGKzdDuguXGnFU9I8AYmQzJD22hG0c5TlBwsPxXxX18GL7GCvPepz+TJCXjxV
/Vj/oCfm1bFChZJhQ4CjgpNz6lAG/qgnh0DXqkNXFQDVci5aEQoyLwtresdiRcebUW69wcHageDV
vIUfC4XWNLQTjQwkcCVLfcwiFSPrSOonlWSsIcUj643rJmZXkxz7hhpIblhXqNi5ilaJF9tO3Xlz
EGUHKWu7L51RtZsI46GdDvvTZecsd/zqjnmPpBI9FEIPYwCpnkfs7zACs/TJhol5lznECSA27e+s
p/LAf5u/VXKY0g5QcrnUTAJ23QmNjZXJEWgW6Od2D+sq7fP4wWrL1l86Tb7BPuBHAo7hzk4t5d6q
h/l7xWFGcVVf7gvLJrOhaRDgInboXTjm3Y2aJOrGkUP9ThoGZ5dabBhBTU1syGd1b0ugG8vILr9Z
mRGTHDRG6VtBnHczdlV+VcZ8TSdZ1H3VJdK2bNPUd7Sov+UVwcsUWrRtNMGmcx0lxJysB2XoQimt
T3Uizy0NTan5iEEcMAOrtzY557YHslvZjHoOXbvrjNcpjuetZUJCNqtwgm7TpYesj6u7oJdA9Y6O
um1CG3JHo0tXZq6DsKPNfBdHNUnlMas/ERkHTyq5+qNtlS1WU4GzuArr9WoitcjmNsXX0VCwXGYb
BfRA8k2vf85D9ofS2K9L8x2a7SfMnMKNoWPzZkTRYTEtw8u5P982UgNcKelQQ3UKpPna7jsXGHZ1
pWqdfB0VlnkctVA/BHaS0i82f+/I15/SPo0+09FfANdlGXYAHr0xNS1fRoLk5n0AqBfNXnDHofil
NrV6z/3E9OrGImIeLGljZPV4P3b6D6NVt20qv0amaeHBbte0vI6Q8PIkfZrQo26DrIaVutjGo5J2
rE3D7v24b7VdJakyZrbdH12ZBZs2rcy9akb1l2iokl1hh+k2bYfeVfL2ew8E78GYSM5b8RRvHc14
igy5OvBrMZlp+nwfQwe6DtOxZ5UnxwGOCCHbACy4t49kC+8kwVhVKkfeNmqR0CxgqdvKMGOfTdeG
nQfqaNDkKHS1oiazPo4YAyxBxyUiAiyfDrHuz3kYXAX0qW85TqCLTE2lfybLaO16yardBU3QIc2q
CYC1pNhgcLX22q7k5mtYZ1yPmj7SbWhCnf40xMm0D+SaLI7chH68WF+jIEiea7k0jmpGOjswFhoV
J9218knB196EEK9K+rGcc/uYzfMLMpbGS3KxMeSNTFY/GQ+RTvYi7ZwQ2ky7M9XRd9Tpc76MIUSf
4XomdejCB2zxlwrD12ohu+vqaWBvZFvSHhYrV/cBzUWfxkyrfkBIVsAbzlQmkpQjFWg9tiaFlYBf
XBbVbVQl25Hc6K6WMACZbOeQl4am2Nc9E0HttR4ClWKdpGi5kx1mHFkyVyttfLviarmhElBeyRiT
uRoVI9+OyBhQYcrv+kKwZCwDgF1VT7tANyQo1fZ4aBb9DweCmFebQXyY+8kmZ+tk6gsyTINgvcnb
rRJ1PwJn0B/qqIi/NjH4uSpjU2kNqbmZ5gH2qxOQtzQiOdxRJzOegVkvV3oo5fvEoNKjG+G8xwpN
8pVeP+ZF9UA5Mj0uVvPDalRi+8CptlzatU96a6rXuZMapyKSHMVTp3om3S6rX9p0/hqaRrHtsnH4
1hHjPJhROd71qRZdS+VUXuOITUZCzae9ErV8XztCw0lmEdR5GsjXujHbx4gMHGHzMj7hFgdt2cm1
U9wG81Mgt7OXWIsD87uOj5MWlDtD7iS3h6YaelltAj9bWuUmkpmkbYHz8SBQbyT9+v1sNumz6kRA
nYNBH77ZBU5fOVcMr1UqcLiVkWQeSegs8IK4bA+qJQX7CNoptRiZP8fg8pYcAuSDttcPrHnuGFqK
t5TVzccui51dXPDX0mlpd9zOGq/u9HyPHbe0m2FxbuzITnelnaUvitlYJ+qY6lZTITjJRd570RRl
pzFdyu0gS/ONYjULE6902u82XaegQ1vpYFv1uE0VxHBGY0JCM0PzmzSO6lXllAW39PwzTN3yC6vg
e9gkGjncyjyhjy9dSNJj4S1FFp/sQLfJ9QeG5mmq5Ow4RmZwSFp4Fc1VdOr0NH3sJkvboj4Jn4YI
bl24OC1xChShxcEkUK7Ijg+1nX2KgRE9dKOTeVHXvC7d0O6LIafFa8ZMDTlnj1Z2IuYJpR90mSh7
MGPDYRnK9NTqeQoDKoofylbvdotWGlviwGo7dHO9U7Re8/vGMV1S6eEB+J157MjifE0LShANxe0T
o2IwOKnHTh7S0yhbNVS/yX7JKltFmTjpm1JXp62EBvNo9p161Ue8W3XUdWy6upkccGjM7EF5f0BE
F950EVfXzgELCt+UXUm5zri97YyISysa4Ia/X6f7lj3RDVKYd+VAFNbJI4lLzYh+5HkWfatM9Y+o
KbQDxWWD+27VsNroai8M6rNaMCPYAdMMtpEWfoU+5qvEapTrXk6iva7OIZobyd4sxaKEaOiiZFuX
nbRR09AhhkqC3pXaIL5qqTscQ9heeBlSniVPuEvradzWMSdoPDB701KvvKjCcjLRlWdZMsnyg+3a
4h1VebY5O1fFpMGAsWWKIl0Yc3UPmBcocvYapQGv0ovl5JBlfoplablhUEoOlWZCKRxlYLQ6bmNp
CXHSdRKayO2lCg62ymVWkaTxdaik6KXPpfLZKrn3NWVpGyCtdPOqimjbTidZ8ykQDfRzJpFzkByZ
M1Eq8h9poms7SZtlmZ0/vcoCRZijh/P0EypeQ9EWMp8OakvGm7LppoemKEWODj9zSTXaU5BmiNxp
w8XeY+oD52EgZ8qh0zbdfZBTZnJ7Q3UoCCHy3A2aVnyxYxFJ12oYfE7ikkyc1Ma24hKW19vOsLOT
WWA1yd4yT7cLu/qXQg2nKw7hHOFCLffe1EcZwt4OPF3nRConSl8Ux1GP1WVTsu29yoWif2a2crZS
cpBAggNB9vRwGl+BX+N7KvdD6vgtMT8Q9H5+gtBZXqeY2n3uIXMPLidjavptUU/oRRtdXFNRWoBz
rvh2thIsotcvDCl5K4O5oRVxeg41Sf1mm2X9gHfn+Fqa/A4MeusHG0QdN5tpFgWyir0EQlWd3dFW
Z4hKRqMQGwXdMrltujjOBgJids/eoxpuO038VlVvzPZgWHly40zT0Pghdn/fkkk1tG0ANu0qDNvo
3lryvII114HJGLo6+WOxwp4YCnCs5AVVBlk6xCJR2pI/iPAF50jK3WZs0yedStgx7HsTbnU/h1cD
2XjdDxWtUndLN5uan2TLcjQr7jVuTg35vmdjAVpiV2noy5RbNzI+aNmhtRt+tE4VxPxKGRf5dRtP
4KExhZF/NgVHtD410qlGMgIqUgE7dzc2zfhKbh9ofCjbHYb5mBaFp0jKHAUueKahyGwGx5sGq0pv
FilM7P1kSEm26eyku1twp8andOqCe0yioq9qmuX4ZSeqMDMlKw0jPMZ2PTaU/hMyFwp8zmxIihdR
IX9J9YjjRwrkIXdnw54/LxMKYcjrltz6HajjF5X/GwaobWAdST4FhOH50HQcuyNCGSobyX0P1LH1
LOyQvR4b1Ie2srqvqlSZk69GvUkWYJab2TWjeNnzVTqDQ6ymAc+kv6HcJrUU7QJKLpHPDaRAjswJ
Vx7HJrUtChjdlHEdaqVsO4Zp8dQWs1xucWBpbmYkLFtZTe3SHY2kielNoJfQ7foimG8pOmTgTjV1
2Y2NvXDnKPvHJsfwYp+nBbD0iTjksevg5gZNI3vlZL3mk07p3zTkTW5H4XGic5hm3oL7l2voGXc2
mRY8XzLT+YuIAXlhnZw9VxZ5CG0ZbDc1iZWHTvqZzlZ9WJox2LFexmu20H4zzhOWt/oES9fTMMSH
rAzWs4qBHDd1jkwArqbiDw4bXQ3VunAzMMGerLbpLRcCnbsDC35rq5OFtqXWPjetjXwbPHNyHcxG
+WnKw+Q6kRpkNFl4N6ftadSVYVeBCt7azWz8wRe1AvKb/S6Xh69tMxp/SPGEvmkqbKrZjeMmlZJ5
taXNvhNZtlcubf0lIZnly02UnNRekrc2B9SxaOPwFI99cOiyLDwoRoYMRNB/qRaOT7VqFSezzUN8
q5LxUz5xwxqWP7Ahso4NSaGjEZJmGKtqvFYBwG6DtBl2RZ71T0MacPCTe9jpwcLcXYiTG3NIPdaf
86jpdXzAxkW50XLU3ql0xe+DVx9y5U8nS96l09T9DOB3H8Oxmk6lXsNVR3eQy6+FLjcHx8ii/WLr
AVmTvDrlNdsngcYwDJqLp429CyjJEMnCunWWhY2xyKQNZIfuuSMMRpDK1ePoFGHnjrOB/7w8tTvO
Molaa5R7/SRbnmEBn43MqTrqo2SCYtSmh7jkrkZsTQGpXex9NAIvieWCWhrVV6urBEjWT+qa8y3w
RiRGBr5ijl5e6U6feWmDD2Dr5Jk3RFxY23ZIPhtLs3D6Ecx2hZl6mJ6gT7N1ye9a1brrKjW47VI1
ZPOrETmM/dB8pjIY3SK/SW0PxcfslMNVZcnlY1Tmzf0A/vnaDk0a9YtlIpdSzJSVtEBOb0fDcp4V
S8258lNV3RSFXj7Dt5bxPOMC/70JWQZmMlNz5xJsbga8rV60QNI8KWzLndxmxd20hODHtYV+UvQR
JW1uumXc0njAKkStmGfuEFFUnIulinzKXSWvRMUzi4Dbjn+ORMgwB+TBpqNksc2tlmY0R+Ry8qWy
pTZHUTLO8B5DkqFNxHWtNTdNn9p/lEbWnUwnj+8qvcyu+iEqtmpnkl1vNnVfIxpLU4drszJJn9uO
bDFinX7Tx2Z4NVrZ9CjVMsYrqT6MW2DD83W4sP6cMgJdAbH6upoL3EEJbMnXL3Odu6ojU+IfC8si
t2yF+X5A88EJP5fztz5bZjczw/Q0IOFAxkdfnssnj4z0ach+xM4oe4k5pg+9MirfgdkaNNKzfYet
kXx36kg72q1uveqBDTM7b5wvDTJNDmjgXqj18vC2UcJEIeHVZLy2zip/VrWCLUDc6bWryJNd7yZd
n1/M2OKSGGbDdira+oTZtHyQmRtPsq2oG4UM8Eka24UwXiPlyaUxOY1DGnv1P+0QIfZyyEvQl2Qa
aE1tG7npe12mkjpUDxQ1wsMqOcxFB88aaGW//bi4tBKUv42CTwgSb2psqFpXgvKmbg0iopD0r0I6
kfxCkQgCurwh+vxnLS+6cAWl6CaYkghpkXOsHqgo6iBTzMgfreoqTer7vukOQVw8ffxEK6332zCc
uMLw1xJ0gNUT5QwckWSP/KWefhTmNG9U8HwX7GPX7ShvoxCaKvgd4JBhCzHwL19HmTp9VAJAA59m
TzSpBt/iz9UJaO1d5drb1N8H99nXj5/st2/FC8QoWgiUqS06+qp5Iq5QmRhc3/1iNj1Y9psoNj5p
XIGb+oJD/rrJ8M/HezfUShRc62PoWKRuffO79ABO9r7+FB+dmwWovRc/yrHb3WRHQQ6S7z9+xnVD
CiNbuEYiRabhBgCAtXrIStU1+Oc8ZPV19oYrbR/5L8snY6dhFhf/YyvCP4dzMDizEN2wEFazpW96
U0Npwa2Xq5p0VxkbdRNv0l16pYXXChHlgWG3l7oA195fb8MKwgHrgXwR59iv02eeqcD0bRTjS0LY
9sjCRrf7eeDtGsfyW7IZv1z0ZRX/5C/1al4sAm/NcfADMkG1/DpkNEZ1YElO5GfoUH4Ih/HyVbk3
XcWbyB5sLtlK/b4MGc42MXIX/yHp++twBfk3EXtQHjc7j5rHlWNmm4/nym9VcfFE74ZYfTsKZfIE
rYvSQ7CjyZGySr6VfPPCjPytzs8oJpQuhqJdAJOTXx/EqkuLiIYZIlNXnmciuuYW2/YLRf5zr4t/
HT941jiOtquvM9FZNxFJsZ8Uu5ALlIRi9+O3dfY5/h5BWXUVQDmzJ7vh++tpvushzdLkeGlenxsD
82QEEZQhyVOvpnWQOuMAHp5prVT3RKsU67QWxdNiX+iiP/fpHWrgNug0yzKFAOT99rsMy0LgwiYv
19Edla9O+lq1y/WSnTT9gqvDmS+DISstwiY+8ty7xJ+/649ounZqByIz38TKptVfBm378YdRzqxM
dCpoXeCY4bBorDZb28wIegFe+IiGTfVRnCb5LjtJ5R+jD8v+Ytv8pQHXjm+Qc8MZsQR7LHXtFwMX
NpRjfrZ4CDP8/4EhmniA1dbDA/KV6GdBMrO2aLbiRcs6i4UqSAfWrXCZSzf5DZWtDQWBXcc9FhMo
1ZUL9z/ba0miitXL3ocN9ur1Kjm163hmAQffRyQTGJ/mKu9U3pFyeE12+i6/vWQcJFbruwcWntTs
suL8xP4Y9JlYJ+/mjKSlcqz1Q+yXOL1TRlD9ENaSNRt+kWpPJNtctW/9j6fRap7+NuZqnypyvDMz
kzETJBIFwDHpH7f5rp5qpUKKlCW1CoURpLT39XCbNOE/XArCFI0zmEZflZAJe+LVulbtNI6oBsfC
3ICmytoz9glIzmpDbdgBcH/Z/0xse798qrcR4TbrCnPUWbc/kQJUzbmlfj1sxycif2Zjt7GOdL5s
Ls2K9aXxz6cj60bRBye73xBRlZl3o6FgmhI/lU+T394UWOJKN+hL40OP4cC0G75X15dIcevl/tuw
q5khBd2QhrT9oIA8FI+K3/KU6uM8b42j4aXbSyf/+vL43+MJLzAuVtxwVuMhixlLumk4l2mMRcke
PgnzX6B0SKeVe90l0jO3+baYXPIxF87R1Qn0NjZmtYJzKe4ea6xIHpBhym2aVOqR3EhWpy9dpBku
C7L8Z+fpnyOJI4FYQ/hIrNY4qaDWKqYcWz592GPE6OmJsXMQa328rM9+PXHt0PDE4bazhq0u5F07
e0agQwvb4FeP+YYa8V3yI3/EJfai5dm5FlZ8wDQ6AlH+UgRfPdZSJqVC5l7s1bJ3vbwsW8Jed3p+
sxi5FtdF4wl6o/vz0t3ht/2Lhfh+4NWsmeQKCbrK+3RQijXWpzrQ/4O5gYE79k8sc8KL1UnuZLGR
NhaPFowyRUZ5vLWlbF9rcvm/HGj1DmnCQlZo8yitU35GeuaTab1TsRq/MM7bnW29eb1/otU7o71K
WuyuYmUflqt0E93GO+k7HXDb6BhcorGfW1m6OMGJP7H2XdsgDIvStlnPWHP1h+J8jyvi3My4MNvP
TgKLMxO3T7Qt+uqsBvemZFrA/j/1D1qHwn3M/I/X09nH4Ak4nNmGjTfLv3dHM3qJTGK5YVylPi7k
tCz7iyZdmsvnzAEAb/w9irjyvRsFhUlNuo9RRnGM4Q2QE9+9ajd4n+PYA2uI+p7lpvOFCbG6Fr/t
Sbw3HBi5FyvwmX8dttFUmkUCZngVJNyNFXkXzSHeWQKbZWSfNLu6//htigm2noDvB1w9Z6uUdjkI
G7BMoxsw+Ezt1bU6bdvVrx8PtM4L/PejgQTi+giree0DazfkeXPUCT7aqTdHe4pObuBrOxN+j5v/
D/yXz81FDpJ/j7gmRxkmTWt2wbO183e9uI/lhwuP9IZ1+O3tQbTRuZuqSNlXF6qCulHLHhz7uY5J
wFhoKEH16DWvjaZ37TZPXqtKp7psI80u3dSR5u1YYR9gepnpFiEaCnNwrvJF24WIoWiUMMLkloDl
u20P27qe+fJluWwXWXukRbDfyyGtx32TAnZQhtarEn3eF3Gqn6JJt276UjN+tuqg7gd1WB67POi9
uZzUrzYNZp6tp27Vd4dpSO4cqficTPdRP54Q1xydOj5logUxL1pQYRPC7vi27uheqwMSGUX9Wiz2
NzQtG3kJr5vcuLbz6KEfi+9Zq15Ps/6IeheFVpp9i50QxZ1l7scaQ21zOnT0nFhy8EeomTXdfNL1
WBqbIW5D1664Qku1Hm3mNrtKlPoptTs8pYf02cyHT8mQJjuLQiXVK/UuaxGuhuMTuNifWkUTZNzr
XpmipGrhMs50FirJct8YGiJ061VODBrMsiTif21+jm291dGK0wadf27M5JlacnszLwkoMTOJHupW
cbYfT41zmxTr96+JscoGLMmiBPo0iTh6UrbpEN5nikNyvrpIjBIL9KMpuNpwTTvqnRiPSTYq7WXe
YPt4hEnUudZO9REPXLobnl1Tfz2YIq9zwPTgLyhDuDS13M6yr61zyT1Q+/CBwKP+ugVqaRTrbUib
nfMwbtoburSgMpLajl0ARO7l4PbjT6Ws0S1SokltOnSEXZkX5KqfG08B5c6P58Ol1yYe+t1xoqME
6PWJyKukejkSO7MJfjzC2Y383YcRv+D9CLU60bnCjIvar7SHH5U53urwzht0Wx+PdPZsNJD1k1XB
cvY3oHqG9Ek3G4Vk7oP9SdvmGzwLhr2wgcY1bFc/qngqXZp3Z7/SuzFXjxdpCAigo/IC9RIzARuR
63OrPl94srNzD3AELYEE23iI//oScU5QW5Q8tHi+DL70tWDuxbvmpwjtKGtezOOc/WbvhhNr+903
m1ulo3eWWcGd6ZO2nOYWAwotP/aI2y48mViXv20TKsEHMQHwtXWUzLHUavhEsSHh8ShMjmjZ2TUe
guXDhZHOTvW/RxJtZO8fSjFobczQHSO990DPVoccs3fl3mjd8YVTT74SRrTlhS93adDVhxujMivI
E5HZiHX67K9j+cuFxzo/Nf56gb/Fpbrcot2sEz+rB+MmS7tWaG50sOIFmgV0FLqraUNI/Y0ezesh
7pZNOhuZTTbH4BSkIeDJitVg9/HPErv7B5/VEr/63Qxa+mQ254jnlo/BLj8O+2ZT3Vz2Fz6/+v5+
+NXqS8I2m7l7xH4TsX8lenwLB+vkNJeQKucXxN/jiN/x7nHwxVzI1LL+ulj24vBnNczoFmYvG/Yf
v7dL80X8kHcDJaqK4L/hvQGoovr2YtaX6ouX5svqaqgZXTqaoq0C7/Gf1WH+vpyo++0nTxPeO5xj
lxInl97d6sph4XMud4ClfTuxN2atf22KwB9qGFxWfiF5f/btwUk3dSp99E+uPhOqNuTgFZ8JrN5T
2BjXU0cbz8df6OyUezfG6gvlJjpjVVwDNC1CVPepGj8jTvt4jPPPQUcpAgBRq1+tnrQDoI3PBke/
9WzF32Ky6R8PcM4gjVro3yOsFo4USHYbpuJycYiBM9SeidM9DuCnS+fj2UzC+5FW36QcuhoBDt/E
uE3vNX/aI6906b64ly7WXM+9NkpdJOIREtKwshpqtONCxRiKNIw5+531OOTmhfd27uO/H2H18ZNq
sBopZYRc0X21fDbnYpPNlffx17n0HKslytHb6IHF8RvhmZ4BCjUu5f5+KyOQEuP92OjOSKXab9Pj
3TYTSHrr6CnxoWQTVmv3SnQaoyeztjE/uaqN+MIDiR+8Pg2o2Vk6vmfoM/TVA0kGHQaqSicvTVlc
M51skT05sOwHlFPZoQqX4RMqv2zafPwez32t98Oudp6or5PRLsmVdNbgh7L+uujVl8qcL2kazn2v
9+OsQh2pndG3yNxhLBQNCg/JrVMDXaa6KMm2jUcr0D8rHb7lLN6NuFa8jIj54lrm+9GbuRnD0isb
6YIh5IWXt/aKk1Qs0xCUk/Gxqk2vzBtnfKmK8vPHn+jCqzPUX887R+0w0lgYJbUICxs6w4zowmZ6
NsHz/mWtdtMELVQBX/XPqoGKF7P2JfdEIKpvQy866hemw7nzjiySiUDoLYW/uvLFVZpTFEqpvyAy
L5XnyHmJ1dZNlh//wavTNeGKC2r6t/Kx1mTQonAU8ZHs7oxxOelj/PjxEGcf5d0QYo682yYGlIAo
iVuIZHN/pVTyyajHCM9i5bEM6Bv/eLCz9QiL4gCSMRiyurN6cYVmmrnhYLvUbpQ/SaV7eXRjbwZN
Ie+D2f94vLMT/N1wq6mXqSPdSCRbfKmXr4NOuVLL9mtlXaKEXRpmNfssfIEMm7YzKMIvVbItY7rX
1O3Hj3I28n3/6sQye/ehyAk7NHYz50RhbDioKb50XvpafWk26la5Vl5l/AZK2lAvfLNLD7eaIHiY
UURoq8QvU5wA8DOTwr2+PF94OvGKfjs+3n2p1akLSlWJU/EKh226eJOww/cdr98OmFy7uX8ZH3Lp
sVbnVWRIHTpapoZS+60xuv2MEc9/snzfPdTqcEJsCngHKa2PjN9baLCsq0vKrLPH7rshVudS3Y+j
Is0MYabBpteiQ6eZd7rS+kEhfcqN8Onj7/TxcPiM/joJ5ULcti2GMzTCaaQz8wFJix2fDLX6X807
Y50PQUJMK7FUJn44SN/RUX0LtdFC7FFdYFGcLVpSNeLagowVTuhqJhQ4g2oDJlPsSQ1uia72RYL1
JS1+4FsePXR+Xbi4r+1oR6/8cPufEP/o+/x7/NUswTo0NCyp4Z3eVo/VttyJainYHNVN/cK7FKq9
1ah+X2l/D7eaMbmu0k4c8riiRosxCYJmVzd4WPtKz2BSigxa6KePKh7e+S3NqPZ3+tM/nkZnD52/
H/k3DdGsTVLa8BswYvO06NuMzL2bqBgMl6Rx55f5X0+7LmrZQ6PXo8ZIjR67dhH6o5NiIHPJkf/s
HefdA6m/rovOTFNLasVLle5Ep3uUWhde2aURVmdMoXSKkZiMoNeaO7JvacGFtX1phNUB0wELq+m0
RivggNkTXhXahWvTpRFWR8kkTUE6pfz22nysOE1i7WKu8dIQq3OkCHI7LXPiAeW2fdK9zI8eLICd
NFnucBYAARTtPp7K56+e7z79avuIM+v/Efdlu3EkSba/Muj3qIl9AWb6IdZcmNxJUXoJUCwy9n2P
r5/jWV1ipDOUXqKAe4UGugRW0cLczc3NbTkH5FckRqttwdWfhwOw1Xyg/OMM2/1spuPfSN0/JZpg
2TTlMIAZMnUaMTaQ5plGj3nDPrnqewAcnFdtfS3RUY2OTAVNjNR2ZWk8R1004U7O9c00YIgVUJip
dV7Ial8TmjAVQMWj5R7AIadHp5HqyU9yGAWm8eoLAPhGGyADfMMAbgZMGyBEWr0jORMoNTygmZ4X
fuzQ/uAMF8KpeBRARZEcgFMJxBAYJ3gcDtUrwJwd/4q3MXVmg9PlITtojnEzobkRWK0Aze/dejtU
DrsYtG5Ji4+hnAjfGx3mdvExxWQGt0BFuord6NBbuWoW18Bi9VidBqsbvBBI+ZTEB/hTRuKTSost
Rd2Bp5W1wKu2uhBBPmERtWoaoMjlHMgUaKN6UR/0Q40CoTs4s4166pa81Aqv3/OlKZvyS/gIGBGg
0wLQxDVsVpTO0pYy53ZEh6eiYnmTwsfMF7Bf0N1w3p5Y2lLeJx7UdopQO8YE+G4uCkCX3iehYZ8X
wtKDcjhBD9CLRMCulSCW7AiOV+0z9FiPiRbbRrkYMFb3OlCnsG2tNz6pO0JcYljFhR8i36GhBdDD
yPWFupk2ksmKUMj3nzuTVICC2TQALIBzwdZFoCT0l5MOI0GDQC2CVqS6Pb+Yqy9SFKVQMAempPyB
yQlQqakqcUjEtXaXwvfMG9WWbqJ7xQJcj8Vqp1zbO0xugPND0zT0Q1HOjssEwZAaSKvaOXtU+AmH
TjaYoH9kieglBNyfLAHQG2MwBnWwGz7lhwEkFSjNGE8l5msxSfEEEIZdYuUYjHnzTcVCURuJwequ
tPxbZctY1bWDAL4MNDYSkgSM5p0e+zArkk7lkUSN3lSv3Wqb6TW9Ct3GBapmaGXXhOBM+8x9BfpE
DAGhGx6TI5TWnC9g8o+H1gr4TbLCqYEIcF6v1e1bSCA/X3gzNQZi/+RDwlgl+1gDK7DBqj2si9Bw
HyqYTOXpZ08LwwcEI1GiyQWAE0+ZPSbV7J5XZNVAwPH9txTxVJE8D9IC4xaIJo/08IknebPDrt3R
o0rHJCbQLY/82zAHifJV8tjOhS9DTm0DuqG3/QrtbDjZ9ggoHat9lpyM2UJMnCxt/GR2D4BbAKxB
I/Gpbn4so0eEhPxAdxL8fZ5fxWHspAKrGXA1I2OI6ERAH68hobHsVFCAdrkgFiCITCaoVuS0s53i
MWXOoPBLHQBWRXcYLGZZyNreGVhSoJcCBvxDMxtg+tBzTl4C/C7aSPt2k227beKyuCbXDHEhhu5g
q0s9UksZYsoMGB8gucNg0XkjXO31Xoqgdgodu1wqahIW0HfGp3IrO5izsIXSI0xSmGVB9lbeAMFL
A2bgJ07yUjR1AJQahK5crqE60sfoIXnWUhbT7+r6gYaFTCKCGZf2RiUQysDsgbS3hKnOWbba2XDO
r9/qUx53CUxPB3XDh8aKEl1kLbBjSeZicBS3vpMKE3hJXnHgrNrBi8crtgHaYrLr2AGw3oPK+IDV
y3PxAXS/RdamjVKRtDvJJcwIl/O7ca9Zmle5wDRj1RlJ0PHhYAOhUkUmnCwqdd7EDqOtwMNG7a99
Vrq7ngc7LnfF9Z7YPjVJaJ9f3VXfBfTgv8XRD5OuKzC8jkKZLXoa0NgcYWM4ws300ju1Wbn5Lj98
yigXEqnz0BqAOAEoBh524XgA257Fq93Dea1WrXIhgrL7EVPWASh9CJB86PRcD5yfqbg9L+MnK6eh
JR8xDgIdyutXojQGccZByFXx2Dxrm8hBO4AlTCb/AvBNx7BZlrjq88E+jdFB/liTOXXFLZfIOfgQ
YhtRhzmGoTMXj3zNmylQis8rtxbZGAtJVIhf6/yYCRxeEbP2oIRfKzU2hej6vAyWNtT6lWIVqFMJ
bYI+Sa2hF3GlSDyQaERr5IbteWHr19hCIyrW1zq1CYcKzRsNKOqHW+2v15kHfN/vhBwR1O7FXfgZ
M9QlXUPngy4j+D7dL8BvwXQqaAgQSydrQKKgFB5DL2LKH9zFQgY5CotgLZNzWcgz6DVYAAOzQmve
H4muXZD2eKyId8UsZAX0lbKiaKRzhDpXkz/UCpCUYgw4vOi4LHPS8hv0DOMjG0+phLoZ0iSKJGBq
SKYcRDhI+qhmeF/G2lY0MgvQwzYQmYHt9JB8JqcJhAfBUI6o4Tyd/hG6qpcRJ8a2DBYUoXsjFAOM
LVrTh7wyDYkkmWAOp1tUobYZ14KAVUOfVeqOT21oR5vEKSoz8ggcAib34vaCJF/Y+ZYVVwj9gI2B
iRQy9UAtptrHYGuRILwDfmWMt5ChKe55BVcOsoyZFxTIUCpBVwRl5iiBqoMiYgnFHqWESrClBmQl
zbeq/npe0Fru6EQSZeyB1gGXnNSBgBNXWaFvEoZM30ZJUN2Hm/aQWto9Q+TK+YJIjI6qMt554jGH
sDhfbcKDqqOHcsRvqKqZ3RD63skGzHt7COyOZSzkzUgb/0KeSL0puUIdtLGFiqLnexgJ9IKt4ZFq
BWvUciXAXip2DLsWismgzqjbGYYhye0WJ84BEqCVt7lT6gAPq3tgQ7bpLp+fzi/omgtZ6kfWeyHW
l7So6QQReZ3s6wRmpbB5yUdWowRj00TKIucyxUCnDw/yF8nkvJcqD1w+dripPVHafCLDKAPsW8RQ
P5q10cZwqlMA3DNRC2EjWo9RJsxuliqrfLd6jBciqAtZzYoi5yMgNiugAxDNIDwUl53Xb4Ay2Li8
v+O81AlcFqH5WowDzQBTAPgW2D492a8D4UgGm2P8V9ofeBhANwEc+ZazJA8TwOiItXNPZRRQmFKp
9WxmUcY8OpTt3eZRuMBJt18I5XiDOJ8MKLAO3driashJgSfDAMwJnUhC7b+PsbexHeXXfVo6mLxg
PMTWwg9AF7yLoDyXkIt9Dd7I2PYfZndy+m15ZVxGCmwSEwTA1bNTq3ZbFqDFWtnhRCy1klCsn9Ch
QhwmGbJrrMARkWP/DjRUwQNaMUa4g6sxtzJWIW/t1XsimTLYbkIVDMUacgRtKbT74or4as6pXkAD
0oH84CmQLcxW/4Mrb+UFdSKaum9DdZi5aoDSwCzUrCbLXuJ4auwGM0/XQFQcrcHngaTWVuHIaNtd
uwk1gCqB5hvANUCtOXUEQGUHUVSvwHknI9DUELLUV4nxFbNev+5EF3LorEXUg3FtqCCHz3NbnS/a
buuLDBk/sZ0fyhCWmKWn1lP8coMIiUFEndqBI7mhJYB605TvVFPGeHrqRaWdfT+v2+ruoQ4HRBnw
uGCO8VRshpbRIaohNhPA+QZEA02orFLdoUsQU22PPeedlyeTy4C6cdF3ISAwA/qFIkrUGQGqtaD5
ko+3Tme29uwKR8wNAME5gp269QVnok3H1W6bAxn+AoUA0I84h2TCgP1kN3Z6qbup02z1TXYl2oiy
gNLmxZvaqg/sxoY133jytdS58mvOj/kZX6vekGhfAyPsg2prnoTOstarEZJ8Ih18IpHakL4DW0yS
QmKq+2bpR505RgBkPr8La7WYEynU+0wfR0FLFEgBhuQRC6EySzSifAsqU3F4V7FKDPK/Ncip877N
VnKtRnoinzq6rZ6EcstDPql8ahvF1b7718lOtwF1BQgWcUsq3aTejaGemyQ3Cxt9KzLKQkCdYzyM
1zJey2+RqRhQQJcF6M3wLf437grcdC4mUWPd7PcpbwKK1MZiJKb/fdiATTM0p4vjJewwNmTFl518
BHX8VRGcaDPZkHg72yAD9gZHxpwRIHZTC/O2Zu7E37p9sTkvduUqhlQZ+VBCfiR8SKoArlLRcw6+
W3xTSrCpsppaWQIoO9Om0K+TCgI64FQ1oProNMk+r8P6yr3rQJlSFw0hcHkNmDKITblcsrPuvgPz
MQdszvOSiGv66Lp+SNIpQ+nkEqhBPZRpeWPEcxxN/UDdbZpnqW4YRskSRZlDV2G9dCDmA5tWADzu
28SBkylm3J8/EaJryG6hH5gGYENBsQaXSpjaQ7H3+68RIpNWZiEArFuApvEGQOXQw0950HASIkMO
EZnMPYhvp3SDvrgv5/dlLfoBnQcKkxhLIBCIlJU1SET5VYEHCAE3kNzxAleJzQlOnx4AwQxPUmDQ
axdx6KhnFhzWFnEpmzK/KMpJ4zZekBGHxjcEIYmiAmBpe15F4vVp01tIMSjTa/UA/ZciNPQrdQuq
j8uhm2/KVLIKGZmNUH44L2713lvKo+wv4ho9Ba4rCaCH48UMZqkW8+YmB2oXU7AKl9tOJSM2WEv9
L/fRoF6rOvhtgT6O5qAG0Y+KMCDrnR7u75hc+9qwouY100SCjUdFUebRNkstKjjLu65vsHVcmntS
719p9eQyFnLlbQyb5wmh/TG2I+azeICj1DZnQY13f+/yIPkwSY6hNbsn6S11ojvmW27VGhfiqNMW
AcwNtV6oBKBkwZXsJAHCs63f9xaYdEFMgVFVgCk33z/xpgOMPGaokMZG7otGjJNV0EMg0YD0RgGa
TH8wy4r1Jl9TbSGCbnOQgYrdg4aLHHIelM8mEl8bCbiElgioqvax+CoiNW+xRgNZUqmDMKuY0hZK
JFBAzGA2086PUgwgfmVYCfkt9PFe6kYZfh6AUASsgzhuh3orbLhbcPUS5E3Jyb26ZVyYq8dsKY3K
1wBfA1OpCozEaC3NJOFG4NRf4sk0PHCoeqwS26ozWcoj53BxBmK96Y2cZCxlYIsWhjWAUNau9ylq
2iGG1F6Bi8UO3VkbR36+EAr6dR4UrFAScP/mrB0KEXjYyvP5jSPO/cO+oRfz2BOD9hBq3xpdqKIK
VL1/Zb4whT64CFjZK7jmRdB/YpDWCoijp93HLM0LPsMlml/oOwSomHYfMMNfo5s7tZjdk2taIYMu
Yg4JL0IUTU6Xrs1BOFGAVAkYOpYMIESUgXM3cLRbsB9ssz9BkpF54E5Arw+4Vazoimkwa3sHNGzw
qGAmE0O51BtIE0Mw2w84Dsp0qXTHOotcWPDTlnwP4F3pK1Gc/SphiaXCiFQoZAXUbui0a++6VHNA
MTcbNSNbunbpLHUji7+wyzieET0WsMsuAt9KcwliREaYupZKQAEf4RagicBUS1cISsAghsdJMpy3
i4Y/8JaUWUjECBvNCS8L2ar5TZdZ3I7dnLOu3bto6qjzQTYo3ICjLqjtk9Bg0CZjwWmvlSVwbSpA
7EBZDAkE2jyVYiZ9OuQiCO9HH70J8JvbwDMO5WWomNOG2Y69ptUxSIYtAqiYruqEIELg+xgSQT3w
1F6ITnETOKTfSMLgK5JqucV6aqz66KVIyrNIHHAMOZLQC7fNo+hUHiCD4C+nCxQnmD27a08oHDas
KvJoYA+mbHIqkjAMIiGxJxCzTuDXABGunYJ8R82ezjvM9ZX8IYlOpYF7ptEUH0esl6wcMXmZdtvz
EtYOMdDGAPFMXhuI607PVyBMdT0S66hGbje3eE7z25gzzwtZt8GFFGp7+jSY5KhD2ozMHAaB21ih
CxYmwPrY5W2smOHuE1UPBc4YFQ+QfSqokJ3qNZS4GIYKlI15GN7Vcf+9r6ZP9CGcyKCix3zswRA0
Bwk4P7+I0WjmPFrWk89E+UtNKO9eoXI/8SpSHbIHzhsLoHqBA073LfrRd9OGdZmsWRzSmhJoRhDT
YCbqdN2KYWimLlEwoAOFyu5VnN7O28KawS0FUC4vxyhjKxhqYktRjBwRxz8rPR97YPP6+nuCKAso
VfC8iOAYQ+8mEh0+wG5S0AqP9a9nBQjOIYrnBKL4w6soyrJQ6TrkUwqFtwuM7PQByIyy+/PKrGzL
UsrR/y2uQUmoirE2UnC6DZXVFsVG6FlwCMSOqOAMUQx6n8FLhsZouh+klKrEaPIwseWy4q59sRZf
QRUZmuHACbYQa8Y+a2NWnXctF3EilTpDQaKDXLTRkTFWTBW5aVBvX8YZnmKBMwLGDAAwKMeA8Vh5
Q/zGjBRXjPFEOnW2jLBBrr+C9CbW3qZoajZp37U7PvFZxZd1SQowzwGhjUIe9XjmE6WKAWsLrmrV
cMaqdIS8ekuriQEnsOZpodG7HMqfcwNXAdk2TuEthkeQrkabytNt8U7xatVUHsUNC/DpCP790W7e
JVK+fY4I8HoIu6ltJGEBDJ5cGq5h5oDQim6Rqd6AeMKKIjP9ooPsDeCZBip7JakI2/Nr+sByYGvh
3MkKUB5MKXKuVjR8T+NwV8pFCgJTpwQ8Gee1l+hB9pT7/iG1WC/6tQjkRCzl19RBneKGiO3dHBi/
/vYlNYv7+jjJyRLGMibKtQEjSe9BRI2jqvNWABjDGt0trPLsqstZWBJ1MoWgyES9gSVFU2SYYRWB
Ta74RLrzZNWoAyjOnRYjG4LwYz6oIKdFYMWIPdbXCuQgPI/WMDi40wsNsDFpa6Qk9KixXt3gqL5v
AraT8U4hq/HxFLyLoU5B1McK33NIfMhxbYF+3BV62Wykb6ChZ71XyLvqnCjKwP0sEQH0cwzoxV2w
ycGKJVjlRrkF6xw6Fc3WKi00vqMktVc4U2HcRKz1pOxcAWAsWFNl3ESTKwFT1PdBrhckzvn7jiWF
/Hxx32VxKkqpjkxBM2/llN9maG6au9T7PSmUiQd1M5Ycn4A1MwvNPnnmWjROf2YiDTb+bhqUjYPF
DnijGUIqDEUc0L/4JvjDo97H9nll1vJGKnDGRYDRInADf9Lpmo1zX/ndrKGdAs3RqWk8CRckKcwh
E52IZtUex8pZ7n91oxZCKbsf4kSeAgMHeMz0jdBm+zZ70+uRoRsxqg8mv5BCmXwbVU0LXkDSA1Pu
S9T4WlQnzi8fSwT5+cLipBg84HmLOG7SjfwmVaP+NlHzliFlrZJ8skmUYXdxWzYloZJHJfciLs2u
QcbZNL5X39CGcpxbaVW4J9N4nHJzfI3uPvEwev8AYiiUnvkQgIUUGxaBY0Ie33gxZXjcVVf492ZB
AnWqRpBZj4aGul/PCYYjjYnXSiNY7Hgw2accUrXnN44ljj5enaZWYw+Fkupi5PZGjnPmFvwnHnsn
60Zlu6IemOogICV9pImZtc3LnHP7MTY257VZD+DQrydomOrA25VavTJPy1DrUMqMHgW0tPydSZxc
0Y53mcs6v+tm/y6OWj25CgpDFv3E1tM3oDs6RVYxTH7dQ7xLoBaubcOmiSIOEtRGtwKp3IgTqtqg
F35mLB3xNR+9xLskKi/jg+etl3W8+EBSiEgUxJ+ACMOZqrbyhrMlxvvyJ/72hzi6wtJNtVqOLXaK
AywJJIZWfUfafVXB9O8mO8V8esgI7xlrSVPhNOiELMF2nIJLhd/HwoNWqR5f2ox1ZEihC/eYy8rQ
iYS8hnEHMl4bwweH6NChlbnc6HcC8moPzXc0dzCkEh9+ZvfomcGgAmN3NpB60X+qmcmrcUnq0aRE
oGumente4Lrf+LF9ND9jDDiPsChQzm854a6rH+oxPNQSZuD71/OCGEdMJ4ovbpZaVeRBKnEAJIRo
xresbBgnbE0AkJhRmEXaBsly8vOFgAlI433WpNCk2fJdA4rimSFhDV4SsBDvIojJLEVoQj61GUQk
jzy6y5BBjjEeIO2yrygFMw7W2sYsZVEeUCvkWuhDPMprP76Np8cJCKA6cvBgy2CoxVo4yvkNU5SA
aAGS2nhw0EJiASKP4c+Jz6GteqkM5f3ETk3FpMTCxWrtzfNB0x6m4bUtAuRzUddTp12ilze/bnBL
mZQfVMu2q+UJMYY2tPuR0wxTiiJWHHG0qjOa0blpKQs4zOcRqwPoShWY3cP8XfpSXoeIOVUAkEqb
wkIFyuwd0e4PYNhW8M8lGiFYX7J6ZS70pXtBs6IRtFZH6CZjzj1y5u9pBM6p1pEs9C5fpaqV8Axn
RQzjnO7kJlocB6OXeXkOoHsmJ+7ExW4Ty2YyH2LtwpAZvU0MI6WRp5PGnzI/RuBh9LvQz8144n/v
GNAFTEwGgR4RtNJ20/tWlgymLDJOAUsHykOJ3KCMHY6zzad6bOnNcJ9zyf15qxfIUfq4KYiZADWF
YQQayX/207xGzy5epoU5utFtc9ngUWelItwVZ73MVoaRnK/trZhY055lhOtO6124RFmEmNegmybN
btl9yaeOrtQAN3kqwso9ryZLELWUApd2Pj9By3gqnaG/6FoQgaBbsI0+cW0J/LtGlMtXxghclyBJ
tsFdbI7lW1J/Oa/JagC1lEA5erGuk1YmARS/6zBH7ES7Ef0VpaV3qAuR7vv8UH0ZPoHdgqvsXS/K
6YOjs+anGXolYZEc1DrrNxyI0O3zyq17iHcplN/vct0IuArbNBeiE2ejlfW3mEXbZ8lDnz7+nizK
3+diOGtZD1kJSTr5TX0p+ryVByMcLi88AIDzN7Wje4BFreMR1SCkKUvwToKvMJgDq/SlTQ4KyFIJ
GTa/NqCy3DN66FJV/LbQEhUeCrSTpCXGG0F4OVuzE+7zy2Gb/QOWTXKQzriTDwzRecIr4N1DyJNG
m3iOzbpkBQesE3Ds/l/cI2rQ+FUzIQbVH8YXHRN142aurda3jm18GCcqDyprMcm5PacX5UC61J+q
QIJeUTq4ZYbRAXRvJ7m8/S2jpOn1WiEcxdonpZVa4sA+BMYTlBw3TcOjpRU756cMgQzHSHfO+nUV
xkGKtex1UBa2j35+Uc8iUDIZbmvdLjQFfeAgKQT+/amnD7tWwkQrSRpOoJYv1NKs44DxNvlJvP0u
hNok0NVqRcghwEgx3lJfhWjul03BmrbxjlUwWV03gZcI3SlgB+hmKYWPwrbj4YURCJtTAExtw8kw
KqixuIoYgmikCi3NApFT4Hj9MttW+msrhxeg0zxUqfDnedv7aOJkTg7gLKAhR58l3RAlaBnqmAoo
F5v2OUEqtAWBa8WxEk8rp5eIAbYCZqlWOmuKvlLSMksIbpX2kl/wx1mMsEHXlWzml2Bo9m3WZq14
wlOZlGFUcRUqCWGTTJ/yrWBr+2hDKJLIO1mubdKyyqaW+HiXncqkIoFA4lFKj8DJmVWqrfRCY+JV
05m9NEkmhjM7O2cRI65v4PvKElNa+MViGMu07iARoc6mVDSQPQIdnUmJuLaaqHajNwoDXTooa6lY
IJZA8AgQBAKeIriyJW2aV4KS0YHJqLb4TWFPm1+fISEF9neRVGAgi0kugMEM/FaYUTCE26FgpQM+
nrNTCVQ4IAlTnHYE+KuLMTfNl1Yyo+NXKTG3ELvnD9pKzH0ii04VTUlVzRyHBeT2ra28+B7Sbp6+
FQtL+UKcVut0F8DOT9yEY3JCrfQOnAqnCx6xMsY6yOts+aa3497qrwhnmOaCSNNu9wBtBP3wbKWB
WXsd40Gz8uY8lU29AGOMcHMBsRzZCzZYW3g1uw/MIjJRXbTSxJyAssJ4p605nKXt0FePIE+hHqKH
1o4vwAqIZqDuMG7QHm8bXrclY/is7PDKOYRA3QBnFAFQoC9xPay0Nq1VgK1JkSnJ39LgoKuMyunH
+5Ss5LsM6qwDcBO3EtcBS0vPrFjbaT4rzbMysnYqgjrmjTam/FyBjCcB4GV1OWGauXNG0ex7s0f/
uLqtneS6vSxCW9CRbgTWuctCvjw2eJyGXaffQJ37dNC7CDD/QFFPpcOcDTdK3Twrhb+VAjAjjoJ4
w88DMhaiH1qhNjKClhUXfrLIlE8o0ElY8Qmkd3N/p8z6JhcCV5O7fa+V25HjHhh+gZj/GW1p5gy0
SUV+O4IHNt76uwL82Oj/bOyBoPHWHhuYQmTJo1xBEI6GWjfwqsKd6kWbLkA+XnXyC0IUIph4le/B
3oHpwCfexWBCjfFXK3I/gal9ssc0zUY7j1VdBjBlsWu9yuDtytCf4iJxjJpVuibmcm6BqSi0LuJ6
TieC6qc/dIXhhRmabIbJGUfS4bAD1oPJ2FLSoXROIhV5YHJr9LmiQpv7xXhBGlyCbX4pbz4zinC6
ilS4IYs9mJ4r7GWujDZYEy2Du05ZkPOMA0GX2apiqkeBeJ1J5bd1GHhRBUST8o2PvnLSyHLcLPOk
HJAf8V1b5Th+BCUO7K92NmzFr507O5kdl+7E7IdejwF+OFV6VhFUqXDmw/H8VZjDvge/tC0A0PIL
um5TQPgDanK4a0FrzIR+ZLhzerSprYeq6ScS3+S6JUb9ZTFn3nlTZNg+XXjjukHzg0AGjaAQ1ddc
oCH3WviNReiB9ujHTV+yeFAuI2Bzs0qMDO3o1va0FNtWJGZzJHPvcgz7YewOHRZqfjXYIuJF7j74
cl7dI6rOmZNHj81ouCGTBAAr9nCjHrjU7V0gDDWAGczt5BuHXMHU7tBbN7lqBJ6OeJd7Igv0hGFP
KuVuuiQvS97ArmKIIHQIWEZmGc4wuukEsJXJxiCUlVvhIWUBIDCVp9xONUaVmLQ4OoqACMRRdxmi
O93GxHLTO03upsgV8hdkqECSTP0hc7E3LJRMRhikUh6pmtIwC7mQDOVWpjpkloyUiQjkyvMbzTIu
KhLi5koPhxbGlTeKKRc3M6t8zBJAuaEiKrmsnMHNKUki57RiHF9qhcRyPiwpVKQzAW5Ll2eoYfhg
TvcrM59+OdVzckPQKYtiTPJCI7HUEIXenA4YWLurh8CR+7fzO8LYeDpl4U/gOu4IVrQQdHYIAyha
7SpVFIZDW2kePVFIo8KXli8qLQugUGvXF8Ojth/3cCmm9DZcge6MYWYM90kXlAI/0v0wx/7U3PiE
4up10w22oYHUs+icBIgAoET+vRifrjB1ed4pcwcPJqp7YQQ5w/x6fqN+8hb8ceFpxCgXGYMwbFIe
g944/CAJuJctwRS+GwAwGmzVNW4wnAbuCXGTeizUS+bWUb4BrZDRgFlewkon7hQX06iW74pPkkXw
8lgvQJY9Uh7CSPq0GtoZmRgZTsg37EYA6gf3J2MxWRZC+QlVBU01n8Lbh51VvMHDu50nP0tQrdxo
D4OrP/EXemG2/yCSZ24k5T00OWhjmUR/XGjyOwH00sAP1b4nHgjlgVjt1rv6ht+klrLtMkaIu+q4
DAx1yQJIG4EofWpD6uQbai7CSjVhNJXuspqE35RAGYuiF0HcjTXanYP4yhf5+9xnoWCuG+RCC8pG
5CzMYoM89Yo3NIfjpm434l1nNyiSoCGJ4bnWH14LaZSpdD2qCYYakAk1heOtKQ6jG02vZ5Td0/bF
13wFowB98FzNem62ZWBspV7SD2le9S5oWzhX5yXDkpWM/9pHM4ZUi6BwetHoNnIfihdqlIN6IwzL
2ARBE8btWjnm3fPmztp2yuJkAcCueoLoWGxas9ESU2B1M7MkUK/vUdYrdHlgSzTVA+KlGRu3v6UC
jcuYx6D38HOoIGsD3ko6Vix++XUREhBDQJVLuHJpREZdCcagHRDzpCFvNd19Wv95XsDqyV9KII+o
hQvnIt/ouRkuvHeNF2S3nsZ7YFlZpRP5Zp6a2T0xYOHPcMcicFtN5kmaDJQtA3j8PI0iP8+g2ihI
dNs4vpfbwn5u0LoyEuYxAqId3bEO6ZpBoHCgYC0BGwI82VNVqzo0krCDqoXxJVDvi5jV0rHSZwwy
Hww9CAohntVFytMUkB5WIiQMuyY1m8rKGjPt0B+TusArnCdgJA0XWegIb5gLUjfslMxqbn35BZQf
6lrRIKiCZDv5Yj/3poEUol14yFOgS40w6ihvnGqKG9ZM2dolKQHxVRFAdw/wXOqtosyjLjWaCkuN
S2ts0fpe3YDG+BOufCmFbPHCWsu2zOSxgnpceQ88HTNAYyTjQJAVot99SxHUHvZJGQ8tj9u+BvCb
+lhZ/nXkkMdmtBUwSB074nfjmhVirJomsFfwPxVgofQLt+wjZWwqnPN50IEf3/sbvY/eGJqtbpGh
E2BjUFOo9IMq0NU263OUKJLH6HK0NXdC38K14chm+pxe9peZy33NvpwXSs4UvZqYb1YlATjDIkqD
pxsW6UVfJLqOZ4n6wquHpADNVcA7lfw8sGZC1zZuKYqyDa3BVKNCqD34WbaDIDI7/k7jPV1guP21
ZVzKoQxEVLqxURos4xxkQOv4IqHWoSHReX7h1iwCg1O8iqlQBT2g1OOkThNtVCMRC4e7cUBx3c8Z
77nVmEVGVYyH/4fl0Q+6qBxkv0ixN63d281t7mJmAOP74EOxxT2rdrNuCD+E0Y+61g/kQE6gj5zd
Jb7olNPG11/k6GvdsLi3WIrRDzuZ78ohlkCvoefijge8pxdNfmTNBi/us4pXbkCyHly3nA4IoE6U
HPQuzDdGIkxWq5eae34jV0Yj4U7el5l++YUY9ueqHvYie+pOfM6cHDHZ3rBUUzfHZ0zfOQEAfHes
BV97TizFUicvLtp5wNg3HDLiBwAmTIlXjs28GadMdbtGb8xajf+cwR7gnFeYtdPUOVRzqchrMt5b
C299EVvZCCikfBeLol2qjX1e2PphfDcr6jAKBoYL9QxaKuUhHS6j1utZTFksEcTvLO4cQIXgsJM0
sqGRePh+Sh7y4eb31CBrupBhyLUaKgPWrIqBB7HNytxMRob/X/eP70tFRdxh2HFqK0OP2R82mZwq
ZjNIN1nUHPxC+fUB0FOjp4LvVkvQgDRBoSj6gmJXIr1UKgONlrEvdBU8LUsOJBQT8moxCApTAH+5
HYh1HEXuWc6YsXT0lMSUzXlRN7CyNsMECBxlATKn6QooIe5v2cGH8Yhp7EKJeH1OAqx2FFh6eBsm
LHVW7xYgEAq4l3mQD1CuoQMwTSMF8EhBBXh8CQ1vrO1nSaB8wNRlhqobkKBMnF0Vt5IQOOdXiiWB
OvhBE1fKQPothHH4IiuVEwoda+J7tfQvLxaK2MXiWOogS2xGDUJAL12YYILCwz4wb/FgBWWv3aKa
yUrjrjrPhUTKEXSDHJZyYoB8KkbqDACeenbhj68Z55ajwggxVg/QQhblEFDLzAp+gnYVcMfT2Bwy
3TSYvVPEmD5EgAsplCeYtUbvRxIuxRfFsxIBOZnAEgk3/hXBR+Y3/mcMAxcuCKiQUEc4fbpnaNWW
ErGUYXqpvwd1vKOGrKrs6sItRFBmIcplP2U8RAypcTOLjaegsd5sB+nuEza+kEMZQxzkYY/BWLyQ
wzn3OHXW8D6Q8s/4UbyIeQm9JoAyozbI9wetRoKTuGoAwkexOY+qF4S/J4WO/0p0myCrhDUT62AL
6tmdkAix6Y8+Q86qq37Xho79RG2KNDXHnPdQ96nbdgm/bSM+VEGOVP4ZZHk92ec3iSzPB/teCKQS
KH6DvpGyjgBOHs3VIfY73QTxD0r1+jBeKGPqH5ohGy/QnBBsy6hvI8aDddURLuRTzrwGW3wQ8Qh2
DaV0enm6Mmrj6byKLBHk5ws3KPFlMnRGBzg4gEyTia0CtDW/J4I6tbKaxJFEGPFCVbHneH4IfZUF
KL56bBcrRR1buZ2UONUhI61vxkQxS+FezAuGOaw/PhZSqEPrA+i2AaMxuVwtggNDUgchUEm2vE2A
UArn9xaOcuKVMWlzm+FccU3oDlH1LeiVL78oAmBrBMNDBQ4tIDLpyv/cz3ySkEmvIgje0Bt6LVTg
Gzkv42Me8igEqTmAfKPLm27KVzI9CDjSlE/GiAk0clruxsLuvmZg+CD9tTpu27rfGOCn/cv2/vuE
V7z59//g7y9FOdVRELbUX/99Vb7md239+toensv/If/pj3/136d/xX/5n99sP7fPJ39x8jZqp5vu
tZ5uX5subc//9K9vCF4L8ouuiyhv74sPv+If/UtH3X76i/7r9fhd91P5+r//ev4TBI921LR19NL+
6z8/2v75v/8SDSRoFpv246OO+pz7Hekz1O7+xC/nRO0PBTuIdAX+7/jnX/+VFnnw989l/Q8FARW6
GtGMRv7AW/33ySr9bB3Oq/j3cv+15T8+/WQ9T1R4Kbq8JdsUREW+XAbpH64B9QsWayDwf0jHP2QW
bqm8Iv0hHpUG6/vxz1+iFtb0/0j5n9oARiuAV4keNOwJtZS/ZAXKH7IEDkQDEG2rVmD8gWYEBfU+
9cfP/79YwU8XQtSOyfvfWwaJ/wNlNIwpwCef2IHwBzrfMSpBgCzJn1+wg39gLP9xUC/p63P97/8D
AAD//w==</cx:binary>
              </cx:geoCache>
            </cx:geography>
          </cx:layoutPr>
        </cx:series>
      </cx:plotAreaRegion>
    </cx:plotArea>
  </cx:chart>
  <cx:spPr>
    <a:noFill/>
    <a:ln>
      <a:noFill/>
    </a:ln>
    <a:effectLst>
      <a:outerShdw blurRad="50800" dist="38100" dir="2700000" algn="tl" rotWithShape="0">
        <a:prstClr val="black">
          <a:alpha val="40000"/>
        </a:prstClr>
      </a:outerShdw>
    </a:effectLst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3.png"/><Relationship Id="rId7" Type="http://schemas.openxmlformats.org/officeDocument/2006/relationships/chart" Target="../charts/chart1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microsoft.com/office/2014/relationships/chartEx" Target="../charts/chartEx1.xml"/><Relationship Id="rId5" Type="http://schemas.openxmlformats.org/officeDocument/2006/relationships/image" Target="../media/image5.png"/><Relationship Id="rId10" Type="http://schemas.openxmlformats.org/officeDocument/2006/relationships/chart" Target="../charts/chart4.xml"/><Relationship Id="rId4" Type="http://schemas.openxmlformats.org/officeDocument/2006/relationships/image" Target="../media/image4.svg"/><Relationship Id="rId9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330200</xdr:colOff>
      <xdr:row>15</xdr:row>
      <xdr:rowOff>169334</xdr:rowOff>
    </xdr:from>
    <xdr:to>
      <xdr:col>23</xdr:col>
      <xdr:colOff>448733</xdr:colOff>
      <xdr:row>24</xdr:row>
      <xdr:rowOff>177800</xdr:rowOff>
    </xdr:to>
    <xdr:sp macro="" textlink="">
      <xdr:nvSpPr>
        <xdr:cNvPr id="46" name="Seta: para a Direita 45">
          <a:extLst>
            <a:ext uri="{FF2B5EF4-FFF2-40B4-BE49-F238E27FC236}">
              <a16:creationId xmlns:a16="http://schemas.microsoft.com/office/drawing/2014/main" id="{AF767E35-4EAB-B90B-EAB1-294F9C5D3508}"/>
            </a:ext>
          </a:extLst>
        </xdr:cNvPr>
        <xdr:cNvSpPr/>
      </xdr:nvSpPr>
      <xdr:spPr>
        <a:xfrm>
          <a:off x="939800" y="2963334"/>
          <a:ext cx="13529733" cy="1684866"/>
        </a:xfrm>
        <a:prstGeom prst="rightArrow">
          <a:avLst/>
        </a:prstGeom>
        <a:solidFill>
          <a:schemeClr val="tx1">
            <a:alpha val="13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210819</xdr:colOff>
      <xdr:row>6</xdr:row>
      <xdr:rowOff>167640</xdr:rowOff>
    </xdr:from>
    <xdr:to>
      <xdr:col>4</xdr:col>
      <xdr:colOff>84666</xdr:colOff>
      <xdr:row>13</xdr:row>
      <xdr:rowOff>4233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F1584F22-75BE-A150-41A7-4CEA87823E50}"/>
            </a:ext>
          </a:extLst>
        </xdr:cNvPr>
        <xdr:cNvSpPr/>
      </xdr:nvSpPr>
      <xdr:spPr>
        <a:xfrm>
          <a:off x="210819" y="1285240"/>
          <a:ext cx="2312247" cy="1140460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Base</a:t>
          </a:r>
          <a:r>
            <a:rPr lang="en-US" sz="1100" baseline="0"/>
            <a:t> de Dados</a:t>
          </a:r>
          <a:br>
            <a:rPr lang="en-US" sz="1100" baseline="0"/>
          </a:br>
          <a:r>
            <a:rPr lang="en-US" sz="1100" baseline="0"/>
            <a:t>(Extraida de um Sistema)</a:t>
          </a:r>
          <a:endParaRPr lang="en-US" sz="1100"/>
        </a:p>
      </xdr:txBody>
    </xdr:sp>
    <xdr:clientData/>
  </xdr:twoCellAnchor>
  <xdr:twoCellAnchor>
    <xdr:from>
      <xdr:col>4</xdr:col>
      <xdr:colOff>298872</xdr:colOff>
      <xdr:row>10</xdr:row>
      <xdr:rowOff>97366</xdr:rowOff>
    </xdr:from>
    <xdr:to>
      <xdr:col>8</xdr:col>
      <xdr:colOff>457199</xdr:colOff>
      <xdr:row>19</xdr:row>
      <xdr:rowOff>169333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5710F6A9-060F-4A60-9DF0-AB6CD9C398CA}"/>
            </a:ext>
          </a:extLst>
        </xdr:cNvPr>
        <xdr:cNvSpPr/>
      </xdr:nvSpPr>
      <xdr:spPr>
        <a:xfrm>
          <a:off x="2737272" y="1960033"/>
          <a:ext cx="2596727" cy="1748367"/>
        </a:xfrm>
        <a:prstGeom prst="round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Limpeza</a:t>
          </a:r>
          <a:r>
            <a:rPr lang="en-US" sz="1100" b="1" baseline="0"/>
            <a:t> e </a:t>
          </a:r>
          <a:r>
            <a:rPr lang="en-US" sz="1100" b="1"/>
            <a:t>Tratamento</a:t>
          </a:r>
        </a:p>
        <a:p>
          <a:pPr algn="ctr"/>
          <a:r>
            <a:rPr lang="en-US" sz="1100" b="0"/>
            <a:t>Transformar em Tabela</a:t>
          </a:r>
        </a:p>
        <a:p>
          <a:pPr algn="ctr"/>
          <a:r>
            <a:rPr lang="en-US" sz="1100" b="0"/>
            <a:t>Formatação</a:t>
          </a:r>
          <a:r>
            <a:rPr lang="en-US" sz="1100" b="0" baseline="0"/>
            <a:t> Geral da Tabela</a:t>
          </a:r>
        </a:p>
        <a:p>
          <a:pPr algn="ctr"/>
          <a:r>
            <a:rPr lang="en-US" sz="1100" b="0" baseline="0"/>
            <a:t>Formatação dos Números</a:t>
          </a:r>
          <a:br>
            <a:rPr lang="en-US" sz="1100" b="0"/>
          </a:br>
          <a:r>
            <a:rPr lang="en-US" sz="1100" b="0"/>
            <a:t>Idade</a:t>
          </a:r>
          <a:r>
            <a:rPr lang="en-US" sz="1100" b="0" baseline="0"/>
            <a:t> das Pessoas</a:t>
          </a:r>
        </a:p>
        <a:p>
          <a:pPr algn="ctr"/>
          <a:r>
            <a:rPr lang="en-US" sz="1100" b="0" baseline="0"/>
            <a:t>Intervalo_Idade</a:t>
          </a:r>
        </a:p>
        <a:p>
          <a:pPr algn="ctr"/>
          <a:r>
            <a:rPr lang="en-US" sz="1100" b="0" baseline="0"/>
            <a:t>Separar coluna Produto-Preço</a:t>
          </a:r>
        </a:p>
        <a:p>
          <a:pPr algn="ctr"/>
          <a:endParaRPr lang="en-US" sz="1100"/>
        </a:p>
      </xdr:txBody>
    </xdr:sp>
    <xdr:clientData/>
  </xdr:twoCellAnchor>
  <xdr:twoCellAnchor>
    <xdr:from>
      <xdr:col>4</xdr:col>
      <xdr:colOff>84666</xdr:colOff>
      <xdr:row>9</xdr:row>
      <xdr:rowOff>179070</xdr:rowOff>
    </xdr:from>
    <xdr:to>
      <xdr:col>4</xdr:col>
      <xdr:colOff>298872</xdr:colOff>
      <xdr:row>15</xdr:row>
      <xdr:rowOff>40217</xdr:rowOff>
    </xdr:to>
    <xdr:cxnSp macro="">
      <xdr:nvCxnSpPr>
        <xdr:cNvPr id="5" name="Conector: Curvo 4">
          <a:extLst>
            <a:ext uri="{FF2B5EF4-FFF2-40B4-BE49-F238E27FC236}">
              <a16:creationId xmlns:a16="http://schemas.microsoft.com/office/drawing/2014/main" id="{133023E3-0F0C-FC6D-0EED-F50F945B27D6}"/>
            </a:ext>
          </a:extLst>
        </xdr:cNvPr>
        <xdr:cNvCxnSpPr>
          <a:stCxn id="2" idx="3"/>
          <a:endCxn id="3" idx="1"/>
        </xdr:cNvCxnSpPr>
      </xdr:nvCxnSpPr>
      <xdr:spPr>
        <a:xfrm>
          <a:off x="2523066" y="1855470"/>
          <a:ext cx="214206" cy="978747"/>
        </a:xfrm>
        <a:prstGeom prst="curved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127000</xdr:colOff>
      <xdr:row>15</xdr:row>
      <xdr:rowOff>2540</xdr:rowOff>
    </xdr:from>
    <xdr:to>
      <xdr:col>12</xdr:col>
      <xdr:colOff>187960</xdr:colOff>
      <xdr:row>21</xdr:row>
      <xdr:rowOff>25400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C4B35435-9BDC-40E6-A2AD-328328631808}"/>
            </a:ext>
          </a:extLst>
        </xdr:cNvPr>
        <xdr:cNvSpPr/>
      </xdr:nvSpPr>
      <xdr:spPr>
        <a:xfrm>
          <a:off x="5613400" y="2796540"/>
          <a:ext cx="1889760" cy="1140460"/>
        </a:xfrm>
        <a:prstGeom prst="round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Anáise de Dados</a:t>
          </a:r>
          <a:br>
            <a:rPr lang="en-US" sz="1100"/>
          </a:br>
          <a:r>
            <a:rPr lang="en-US" sz="1100"/>
            <a:t>(Tabela Dinâmica)</a:t>
          </a:r>
        </a:p>
      </xdr:txBody>
    </xdr:sp>
    <xdr:clientData/>
  </xdr:twoCellAnchor>
  <xdr:twoCellAnchor>
    <xdr:from>
      <xdr:col>8</xdr:col>
      <xdr:colOff>457199</xdr:colOff>
      <xdr:row>15</xdr:row>
      <xdr:rowOff>40217</xdr:rowOff>
    </xdr:from>
    <xdr:to>
      <xdr:col>9</xdr:col>
      <xdr:colOff>127000</xdr:colOff>
      <xdr:row>18</xdr:row>
      <xdr:rowOff>13970</xdr:rowOff>
    </xdr:to>
    <xdr:cxnSp macro="">
      <xdr:nvCxnSpPr>
        <xdr:cNvPr id="10" name="Conector: Curvo 9">
          <a:extLst>
            <a:ext uri="{FF2B5EF4-FFF2-40B4-BE49-F238E27FC236}">
              <a16:creationId xmlns:a16="http://schemas.microsoft.com/office/drawing/2014/main" id="{655DBCE8-16F9-4291-BDA5-80B2150C694D}"/>
            </a:ext>
          </a:extLst>
        </xdr:cNvPr>
        <xdr:cNvCxnSpPr>
          <a:stCxn id="3" idx="3"/>
          <a:endCxn id="9" idx="1"/>
        </xdr:cNvCxnSpPr>
      </xdr:nvCxnSpPr>
      <xdr:spPr>
        <a:xfrm>
          <a:off x="5333999" y="2834217"/>
          <a:ext cx="279401" cy="532553"/>
        </a:xfrm>
        <a:prstGeom prst="curved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109220</xdr:colOff>
      <xdr:row>3</xdr:row>
      <xdr:rowOff>126154</xdr:rowOff>
    </xdr:from>
    <xdr:to>
      <xdr:col>16</xdr:col>
      <xdr:colOff>170180</xdr:colOff>
      <xdr:row>9</xdr:row>
      <xdr:rowOff>149014</xdr:rowOff>
    </xdr:to>
    <xdr:sp macro="" textlink="">
      <xdr:nvSpPr>
        <xdr:cNvPr id="15" name="Retângulo: Cantos Arredondados 14">
          <a:extLst>
            <a:ext uri="{FF2B5EF4-FFF2-40B4-BE49-F238E27FC236}">
              <a16:creationId xmlns:a16="http://schemas.microsoft.com/office/drawing/2014/main" id="{A38082FD-E2EF-4C50-A60D-9B377347541D}"/>
            </a:ext>
          </a:extLst>
        </xdr:cNvPr>
        <xdr:cNvSpPr/>
      </xdr:nvSpPr>
      <xdr:spPr>
        <a:xfrm>
          <a:off x="8034020" y="684954"/>
          <a:ext cx="1889760" cy="1140460"/>
        </a:xfrm>
        <a:prstGeom prst="round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Bases Totais</a:t>
          </a:r>
        </a:p>
      </xdr:txBody>
    </xdr:sp>
    <xdr:clientData/>
  </xdr:twoCellAnchor>
  <xdr:twoCellAnchor>
    <xdr:from>
      <xdr:col>13</xdr:col>
      <xdr:colOff>110914</xdr:colOff>
      <xdr:row>10</xdr:row>
      <xdr:rowOff>83820</xdr:rowOff>
    </xdr:from>
    <xdr:to>
      <xdr:col>16</xdr:col>
      <xdr:colOff>171874</xdr:colOff>
      <xdr:row>16</xdr:row>
      <xdr:rowOff>106680</xdr:rowOff>
    </xdr:to>
    <xdr:sp macro="" textlink="">
      <xdr:nvSpPr>
        <xdr:cNvPr id="16" name="Retângulo: Cantos Arredondados 15">
          <a:extLst>
            <a:ext uri="{FF2B5EF4-FFF2-40B4-BE49-F238E27FC236}">
              <a16:creationId xmlns:a16="http://schemas.microsoft.com/office/drawing/2014/main" id="{9DE41B0D-8437-4195-93B5-D7EE258B9EB8}"/>
            </a:ext>
          </a:extLst>
        </xdr:cNvPr>
        <xdr:cNvSpPr/>
      </xdr:nvSpPr>
      <xdr:spPr>
        <a:xfrm>
          <a:off x="8035714" y="1946487"/>
          <a:ext cx="1889760" cy="1140460"/>
        </a:xfrm>
        <a:prstGeom prst="round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Faixa</a:t>
          </a:r>
          <a:r>
            <a:rPr lang="en-US" sz="1100" baseline="0"/>
            <a:t> Etária</a:t>
          </a:r>
          <a:r>
            <a:rPr lang="en-US" sz="1100"/>
            <a:t> e Gênero</a:t>
          </a:r>
        </a:p>
      </xdr:txBody>
    </xdr:sp>
    <xdr:clientData/>
  </xdr:twoCellAnchor>
  <xdr:twoCellAnchor>
    <xdr:from>
      <xdr:col>13</xdr:col>
      <xdr:colOff>106680</xdr:colOff>
      <xdr:row>17</xdr:row>
      <xdr:rowOff>129540</xdr:rowOff>
    </xdr:from>
    <xdr:to>
      <xdr:col>16</xdr:col>
      <xdr:colOff>167640</xdr:colOff>
      <xdr:row>23</xdr:row>
      <xdr:rowOff>152400</xdr:rowOff>
    </xdr:to>
    <xdr:sp macro="" textlink="">
      <xdr:nvSpPr>
        <xdr:cNvPr id="17" name="Retângulo: Cantos Arredondados 16">
          <a:extLst>
            <a:ext uri="{FF2B5EF4-FFF2-40B4-BE49-F238E27FC236}">
              <a16:creationId xmlns:a16="http://schemas.microsoft.com/office/drawing/2014/main" id="{782705D6-8132-4372-8F3D-AE992F3CA695}"/>
            </a:ext>
          </a:extLst>
        </xdr:cNvPr>
        <xdr:cNvSpPr/>
      </xdr:nvSpPr>
      <xdr:spPr>
        <a:xfrm>
          <a:off x="8031480" y="3055620"/>
          <a:ext cx="1889760" cy="1120140"/>
        </a:xfrm>
        <a:prstGeom prst="round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Produtos Mais VEndidos</a:t>
          </a:r>
        </a:p>
      </xdr:txBody>
    </xdr:sp>
    <xdr:clientData/>
  </xdr:twoCellAnchor>
  <xdr:twoCellAnchor>
    <xdr:from>
      <xdr:col>13</xdr:col>
      <xdr:colOff>129540</xdr:colOff>
      <xdr:row>25</xdr:row>
      <xdr:rowOff>68580</xdr:rowOff>
    </xdr:from>
    <xdr:to>
      <xdr:col>16</xdr:col>
      <xdr:colOff>190500</xdr:colOff>
      <xdr:row>31</xdr:row>
      <xdr:rowOff>91440</xdr:rowOff>
    </xdr:to>
    <xdr:sp macro="" textlink="">
      <xdr:nvSpPr>
        <xdr:cNvPr id="18" name="Retângulo: Cantos Arredondados 17">
          <a:extLst>
            <a:ext uri="{FF2B5EF4-FFF2-40B4-BE49-F238E27FC236}">
              <a16:creationId xmlns:a16="http://schemas.microsoft.com/office/drawing/2014/main" id="{B42CFC2A-AB8F-42B9-8A1A-595043209AF7}"/>
            </a:ext>
          </a:extLst>
        </xdr:cNvPr>
        <xdr:cNvSpPr/>
      </xdr:nvSpPr>
      <xdr:spPr>
        <a:xfrm>
          <a:off x="8054340" y="4457700"/>
          <a:ext cx="1889760" cy="1120140"/>
        </a:xfrm>
        <a:prstGeom prst="round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Avaliaçao</a:t>
          </a:r>
          <a:r>
            <a:rPr lang="en-US" sz="1100" baseline="0"/>
            <a:t> dos Clientes</a:t>
          </a:r>
          <a:endParaRPr lang="en-US" sz="1100"/>
        </a:p>
      </xdr:txBody>
    </xdr:sp>
    <xdr:clientData/>
  </xdr:twoCellAnchor>
  <xdr:twoCellAnchor>
    <xdr:from>
      <xdr:col>16</xdr:col>
      <xdr:colOff>358140</xdr:colOff>
      <xdr:row>3</xdr:row>
      <xdr:rowOff>53340</xdr:rowOff>
    </xdr:from>
    <xdr:to>
      <xdr:col>19</xdr:col>
      <xdr:colOff>419100</xdr:colOff>
      <xdr:row>9</xdr:row>
      <xdr:rowOff>76200</xdr:rowOff>
    </xdr:to>
    <xdr:sp macro="" textlink="">
      <xdr:nvSpPr>
        <xdr:cNvPr id="19" name="Retângulo: Cantos Arredondados 18">
          <a:extLst>
            <a:ext uri="{FF2B5EF4-FFF2-40B4-BE49-F238E27FC236}">
              <a16:creationId xmlns:a16="http://schemas.microsoft.com/office/drawing/2014/main" id="{1EC024A6-47E1-46DB-B58E-9EE610592DA0}"/>
            </a:ext>
          </a:extLst>
        </xdr:cNvPr>
        <xdr:cNvSpPr/>
      </xdr:nvSpPr>
      <xdr:spPr>
        <a:xfrm>
          <a:off x="10111740" y="419100"/>
          <a:ext cx="1889760" cy="1120140"/>
        </a:xfrm>
        <a:prstGeom prst="roundRect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Cartão</a:t>
          </a:r>
        </a:p>
      </xdr:txBody>
    </xdr:sp>
    <xdr:clientData/>
  </xdr:twoCellAnchor>
  <xdr:twoCellAnchor>
    <xdr:from>
      <xdr:col>16</xdr:col>
      <xdr:colOff>342900</xdr:colOff>
      <xdr:row>10</xdr:row>
      <xdr:rowOff>53340</xdr:rowOff>
    </xdr:from>
    <xdr:to>
      <xdr:col>19</xdr:col>
      <xdr:colOff>403860</xdr:colOff>
      <xdr:row>16</xdr:row>
      <xdr:rowOff>76200</xdr:rowOff>
    </xdr:to>
    <xdr:sp macro="" textlink="">
      <xdr:nvSpPr>
        <xdr:cNvPr id="20" name="Retângulo: Cantos Arredondados 19">
          <a:extLst>
            <a:ext uri="{FF2B5EF4-FFF2-40B4-BE49-F238E27FC236}">
              <a16:creationId xmlns:a16="http://schemas.microsoft.com/office/drawing/2014/main" id="{A94432F3-CEC2-4863-9669-55D9A8F4DC18}"/>
            </a:ext>
          </a:extLst>
        </xdr:cNvPr>
        <xdr:cNvSpPr/>
      </xdr:nvSpPr>
      <xdr:spPr>
        <a:xfrm>
          <a:off x="10096500" y="1699260"/>
          <a:ext cx="1889760" cy="1120140"/>
        </a:xfrm>
        <a:prstGeom prst="roundRect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Colunas</a:t>
          </a:r>
        </a:p>
      </xdr:txBody>
    </xdr:sp>
    <xdr:clientData/>
  </xdr:twoCellAnchor>
  <xdr:twoCellAnchor>
    <xdr:from>
      <xdr:col>16</xdr:col>
      <xdr:colOff>381000</xdr:colOff>
      <xdr:row>17</xdr:row>
      <xdr:rowOff>99060</xdr:rowOff>
    </xdr:from>
    <xdr:to>
      <xdr:col>19</xdr:col>
      <xdr:colOff>441960</xdr:colOff>
      <xdr:row>23</xdr:row>
      <xdr:rowOff>121920</xdr:rowOff>
    </xdr:to>
    <xdr:sp macro="" textlink="">
      <xdr:nvSpPr>
        <xdr:cNvPr id="21" name="Retângulo: Cantos Arredondados 20">
          <a:extLst>
            <a:ext uri="{FF2B5EF4-FFF2-40B4-BE49-F238E27FC236}">
              <a16:creationId xmlns:a16="http://schemas.microsoft.com/office/drawing/2014/main" id="{13A9C658-9C5D-44BC-A0F4-29064A255745}"/>
            </a:ext>
          </a:extLst>
        </xdr:cNvPr>
        <xdr:cNvSpPr/>
      </xdr:nvSpPr>
      <xdr:spPr>
        <a:xfrm>
          <a:off x="10134600" y="3025140"/>
          <a:ext cx="1889760" cy="1120140"/>
        </a:xfrm>
        <a:prstGeom prst="roundRect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Barras</a:t>
          </a:r>
        </a:p>
      </xdr:txBody>
    </xdr:sp>
    <xdr:clientData/>
  </xdr:twoCellAnchor>
  <xdr:twoCellAnchor>
    <xdr:from>
      <xdr:col>16</xdr:col>
      <xdr:colOff>403860</xdr:colOff>
      <xdr:row>25</xdr:row>
      <xdr:rowOff>38100</xdr:rowOff>
    </xdr:from>
    <xdr:to>
      <xdr:col>19</xdr:col>
      <xdr:colOff>464820</xdr:colOff>
      <xdr:row>31</xdr:row>
      <xdr:rowOff>60960</xdr:rowOff>
    </xdr:to>
    <xdr:sp macro="" textlink="">
      <xdr:nvSpPr>
        <xdr:cNvPr id="22" name="Retângulo: Cantos Arredondados 21">
          <a:extLst>
            <a:ext uri="{FF2B5EF4-FFF2-40B4-BE49-F238E27FC236}">
              <a16:creationId xmlns:a16="http://schemas.microsoft.com/office/drawing/2014/main" id="{BA69DFB5-E369-4634-85A6-3A0EC2D25AD3}"/>
            </a:ext>
          </a:extLst>
        </xdr:cNvPr>
        <xdr:cNvSpPr/>
      </xdr:nvSpPr>
      <xdr:spPr>
        <a:xfrm>
          <a:off x="10157460" y="4427220"/>
          <a:ext cx="1889760" cy="1120140"/>
        </a:xfrm>
        <a:prstGeom prst="roundRect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Lista</a:t>
          </a:r>
        </a:p>
      </xdr:txBody>
    </xdr:sp>
    <xdr:clientData/>
  </xdr:twoCellAnchor>
  <xdr:twoCellAnchor>
    <xdr:from>
      <xdr:col>12</xdr:col>
      <xdr:colOff>187960</xdr:colOff>
      <xdr:row>6</xdr:row>
      <xdr:rowOff>137584</xdr:rowOff>
    </xdr:from>
    <xdr:to>
      <xdr:col>13</xdr:col>
      <xdr:colOff>109220</xdr:colOff>
      <xdr:row>18</xdr:row>
      <xdr:rowOff>13970</xdr:rowOff>
    </xdr:to>
    <xdr:cxnSp macro="">
      <xdr:nvCxnSpPr>
        <xdr:cNvPr id="23" name="Conector: Curvo 22">
          <a:extLst>
            <a:ext uri="{FF2B5EF4-FFF2-40B4-BE49-F238E27FC236}">
              <a16:creationId xmlns:a16="http://schemas.microsoft.com/office/drawing/2014/main" id="{FB292D10-9CAB-4104-9043-AFCB7969F996}"/>
            </a:ext>
          </a:extLst>
        </xdr:cNvPr>
        <xdr:cNvCxnSpPr>
          <a:stCxn id="9" idx="3"/>
          <a:endCxn id="15" idx="1"/>
        </xdr:cNvCxnSpPr>
      </xdr:nvCxnSpPr>
      <xdr:spPr>
        <a:xfrm flipV="1">
          <a:off x="7503160" y="1255184"/>
          <a:ext cx="530860" cy="2111586"/>
        </a:xfrm>
        <a:prstGeom prst="curved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187960</xdr:colOff>
      <xdr:row>13</xdr:row>
      <xdr:rowOff>95250</xdr:rowOff>
    </xdr:from>
    <xdr:to>
      <xdr:col>13</xdr:col>
      <xdr:colOff>110914</xdr:colOff>
      <xdr:row>18</xdr:row>
      <xdr:rowOff>13970</xdr:rowOff>
    </xdr:to>
    <xdr:cxnSp macro="">
      <xdr:nvCxnSpPr>
        <xdr:cNvPr id="27" name="Conector: Curvo 26">
          <a:extLst>
            <a:ext uri="{FF2B5EF4-FFF2-40B4-BE49-F238E27FC236}">
              <a16:creationId xmlns:a16="http://schemas.microsoft.com/office/drawing/2014/main" id="{4B464CC8-02A2-4BA5-ABF6-552FCF5C1D06}"/>
            </a:ext>
          </a:extLst>
        </xdr:cNvPr>
        <xdr:cNvCxnSpPr>
          <a:stCxn id="9" idx="3"/>
          <a:endCxn id="16" idx="1"/>
        </xdr:cNvCxnSpPr>
      </xdr:nvCxnSpPr>
      <xdr:spPr>
        <a:xfrm flipV="1">
          <a:off x="7503160" y="2516717"/>
          <a:ext cx="532554" cy="850053"/>
        </a:xfrm>
        <a:prstGeom prst="curved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187960</xdr:colOff>
      <xdr:row>18</xdr:row>
      <xdr:rowOff>13970</xdr:rowOff>
    </xdr:from>
    <xdr:to>
      <xdr:col>13</xdr:col>
      <xdr:colOff>106680</xdr:colOff>
      <xdr:row>20</xdr:row>
      <xdr:rowOff>140970</xdr:rowOff>
    </xdr:to>
    <xdr:cxnSp macro="">
      <xdr:nvCxnSpPr>
        <xdr:cNvPr id="30" name="Conector: Curvo 29">
          <a:extLst>
            <a:ext uri="{FF2B5EF4-FFF2-40B4-BE49-F238E27FC236}">
              <a16:creationId xmlns:a16="http://schemas.microsoft.com/office/drawing/2014/main" id="{1DC70E08-B84E-4E7B-987A-28574C30F258}"/>
            </a:ext>
          </a:extLst>
        </xdr:cNvPr>
        <xdr:cNvCxnSpPr>
          <a:stCxn id="9" idx="3"/>
          <a:endCxn id="17" idx="1"/>
        </xdr:cNvCxnSpPr>
      </xdr:nvCxnSpPr>
      <xdr:spPr>
        <a:xfrm>
          <a:off x="7503160" y="3366770"/>
          <a:ext cx="528320" cy="499533"/>
        </a:xfrm>
        <a:prstGeom prst="curved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187960</xdr:colOff>
      <xdr:row>18</xdr:row>
      <xdr:rowOff>13970</xdr:rowOff>
    </xdr:from>
    <xdr:to>
      <xdr:col>13</xdr:col>
      <xdr:colOff>129540</xdr:colOff>
      <xdr:row>28</xdr:row>
      <xdr:rowOff>80010</xdr:rowOff>
    </xdr:to>
    <xdr:cxnSp macro="">
      <xdr:nvCxnSpPr>
        <xdr:cNvPr id="33" name="Conector: Curvo 32">
          <a:extLst>
            <a:ext uri="{FF2B5EF4-FFF2-40B4-BE49-F238E27FC236}">
              <a16:creationId xmlns:a16="http://schemas.microsoft.com/office/drawing/2014/main" id="{08E6F322-940B-4C78-A274-033FDBCD0B6C}"/>
            </a:ext>
          </a:extLst>
        </xdr:cNvPr>
        <xdr:cNvCxnSpPr>
          <a:stCxn id="9" idx="3"/>
          <a:endCxn id="18" idx="1"/>
        </xdr:cNvCxnSpPr>
      </xdr:nvCxnSpPr>
      <xdr:spPr>
        <a:xfrm>
          <a:off x="7503160" y="3366770"/>
          <a:ext cx="551180" cy="1928707"/>
        </a:xfrm>
        <a:prstGeom prst="curved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160020</xdr:colOff>
      <xdr:row>32</xdr:row>
      <xdr:rowOff>60960</xdr:rowOff>
    </xdr:from>
    <xdr:to>
      <xdr:col>16</xdr:col>
      <xdr:colOff>220980</xdr:colOff>
      <xdr:row>38</xdr:row>
      <xdr:rowOff>83820</xdr:rowOff>
    </xdr:to>
    <xdr:sp macro="" textlink="">
      <xdr:nvSpPr>
        <xdr:cNvPr id="36" name="Retângulo: Cantos Arredondados 35">
          <a:extLst>
            <a:ext uri="{FF2B5EF4-FFF2-40B4-BE49-F238E27FC236}">
              <a16:creationId xmlns:a16="http://schemas.microsoft.com/office/drawing/2014/main" id="{091019E8-4889-4A51-A951-8087368DB17C}"/>
            </a:ext>
          </a:extLst>
        </xdr:cNvPr>
        <xdr:cNvSpPr/>
      </xdr:nvSpPr>
      <xdr:spPr>
        <a:xfrm>
          <a:off x="8084820" y="5730240"/>
          <a:ext cx="1889760" cy="1120140"/>
        </a:xfrm>
        <a:prstGeom prst="round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REgião</a:t>
          </a:r>
        </a:p>
      </xdr:txBody>
    </xdr:sp>
    <xdr:clientData/>
  </xdr:twoCellAnchor>
  <xdr:twoCellAnchor>
    <xdr:from>
      <xdr:col>16</xdr:col>
      <xdr:colOff>434340</xdr:colOff>
      <xdr:row>32</xdr:row>
      <xdr:rowOff>30480</xdr:rowOff>
    </xdr:from>
    <xdr:to>
      <xdr:col>19</xdr:col>
      <xdr:colOff>495300</xdr:colOff>
      <xdr:row>38</xdr:row>
      <xdr:rowOff>53340</xdr:rowOff>
    </xdr:to>
    <xdr:sp macro="" textlink="">
      <xdr:nvSpPr>
        <xdr:cNvPr id="37" name="Retângulo: Cantos Arredondados 36">
          <a:extLst>
            <a:ext uri="{FF2B5EF4-FFF2-40B4-BE49-F238E27FC236}">
              <a16:creationId xmlns:a16="http://schemas.microsoft.com/office/drawing/2014/main" id="{187C09EA-90EA-4779-9576-0EB34214C189}"/>
            </a:ext>
          </a:extLst>
        </xdr:cNvPr>
        <xdr:cNvSpPr/>
      </xdr:nvSpPr>
      <xdr:spPr>
        <a:xfrm>
          <a:off x="10187940" y="5699760"/>
          <a:ext cx="1889760" cy="1120140"/>
        </a:xfrm>
        <a:prstGeom prst="roundRect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Mapa</a:t>
          </a:r>
        </a:p>
      </xdr:txBody>
    </xdr:sp>
    <xdr:clientData/>
  </xdr:twoCellAnchor>
  <xdr:twoCellAnchor>
    <xdr:from>
      <xdr:col>12</xdr:col>
      <xdr:colOff>187960</xdr:colOff>
      <xdr:row>18</xdr:row>
      <xdr:rowOff>13970</xdr:rowOff>
    </xdr:from>
    <xdr:to>
      <xdr:col>13</xdr:col>
      <xdr:colOff>160020</xdr:colOff>
      <xdr:row>35</xdr:row>
      <xdr:rowOff>72390</xdr:rowOff>
    </xdr:to>
    <xdr:cxnSp macro="">
      <xdr:nvCxnSpPr>
        <xdr:cNvPr id="38" name="Conector: Curvo 37">
          <a:extLst>
            <a:ext uri="{FF2B5EF4-FFF2-40B4-BE49-F238E27FC236}">
              <a16:creationId xmlns:a16="http://schemas.microsoft.com/office/drawing/2014/main" id="{1501358F-3E17-4B08-9262-94CD0E2F417F}"/>
            </a:ext>
          </a:extLst>
        </xdr:cNvPr>
        <xdr:cNvCxnSpPr>
          <a:stCxn id="9" idx="3"/>
          <a:endCxn id="36" idx="1"/>
        </xdr:cNvCxnSpPr>
      </xdr:nvCxnSpPr>
      <xdr:spPr>
        <a:xfrm>
          <a:off x="7503160" y="3366770"/>
          <a:ext cx="581660" cy="3224953"/>
        </a:xfrm>
        <a:prstGeom prst="curved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167640</xdr:colOff>
      <xdr:row>39</xdr:row>
      <xdr:rowOff>121920</xdr:rowOff>
    </xdr:from>
    <xdr:to>
      <xdr:col>16</xdr:col>
      <xdr:colOff>228600</xdr:colOff>
      <xdr:row>45</xdr:row>
      <xdr:rowOff>144780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3AA88FEF-1FED-4D56-85ED-02D38C6C0B69}"/>
            </a:ext>
          </a:extLst>
        </xdr:cNvPr>
        <xdr:cNvSpPr/>
      </xdr:nvSpPr>
      <xdr:spPr>
        <a:xfrm>
          <a:off x="8092440" y="7071360"/>
          <a:ext cx="1889760" cy="1120140"/>
        </a:xfrm>
        <a:prstGeom prst="round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Receita</a:t>
          </a:r>
          <a:r>
            <a:rPr lang="en-US" sz="1100" baseline="0"/>
            <a:t> Mensal e Anual</a:t>
          </a:r>
          <a:endParaRPr lang="en-US" sz="1100"/>
        </a:p>
      </xdr:txBody>
    </xdr:sp>
    <xdr:clientData/>
  </xdr:twoCellAnchor>
  <xdr:twoCellAnchor>
    <xdr:from>
      <xdr:col>12</xdr:col>
      <xdr:colOff>187960</xdr:colOff>
      <xdr:row>18</xdr:row>
      <xdr:rowOff>13970</xdr:rowOff>
    </xdr:from>
    <xdr:to>
      <xdr:col>13</xdr:col>
      <xdr:colOff>167640</xdr:colOff>
      <xdr:row>42</xdr:row>
      <xdr:rowOff>133350</xdr:rowOff>
    </xdr:to>
    <xdr:cxnSp macro="">
      <xdr:nvCxnSpPr>
        <xdr:cNvPr id="8" name="Conector: Curvo 7">
          <a:extLst>
            <a:ext uri="{FF2B5EF4-FFF2-40B4-BE49-F238E27FC236}">
              <a16:creationId xmlns:a16="http://schemas.microsoft.com/office/drawing/2014/main" id="{B4251901-5899-4D4D-B722-AED7FEE8DDE4}"/>
            </a:ext>
          </a:extLst>
        </xdr:cNvPr>
        <xdr:cNvCxnSpPr>
          <a:stCxn id="9" idx="3"/>
          <a:endCxn id="7" idx="1"/>
        </xdr:cNvCxnSpPr>
      </xdr:nvCxnSpPr>
      <xdr:spPr>
        <a:xfrm>
          <a:off x="7503160" y="3366770"/>
          <a:ext cx="589280" cy="4589780"/>
        </a:xfrm>
        <a:prstGeom prst="curved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434340</xdr:colOff>
      <xdr:row>39</xdr:row>
      <xdr:rowOff>137160</xdr:rowOff>
    </xdr:from>
    <xdr:to>
      <xdr:col>19</xdr:col>
      <xdr:colOff>495300</xdr:colOff>
      <xdr:row>45</xdr:row>
      <xdr:rowOff>160020</xdr:rowOff>
    </xdr:to>
    <xdr:sp macro="" textlink="">
      <xdr:nvSpPr>
        <xdr:cNvPr id="13" name="Retângulo: Cantos Arredondados 12">
          <a:extLst>
            <a:ext uri="{FF2B5EF4-FFF2-40B4-BE49-F238E27FC236}">
              <a16:creationId xmlns:a16="http://schemas.microsoft.com/office/drawing/2014/main" id="{CC108526-0F4E-40E2-B53A-832DF1FE8AD1}"/>
            </a:ext>
          </a:extLst>
        </xdr:cNvPr>
        <xdr:cNvSpPr/>
      </xdr:nvSpPr>
      <xdr:spPr>
        <a:xfrm>
          <a:off x="10187940" y="7086600"/>
          <a:ext cx="1889760" cy="1120140"/>
        </a:xfrm>
        <a:prstGeom prst="roundRect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Lista</a:t>
          </a:r>
        </a:p>
      </xdr:txBody>
    </xdr:sp>
    <xdr:clientData/>
  </xdr:twoCellAnchor>
  <xdr:twoCellAnchor>
    <xdr:from>
      <xdr:col>20</xdr:col>
      <xdr:colOff>436880</xdr:colOff>
      <xdr:row>3</xdr:row>
      <xdr:rowOff>33020</xdr:rowOff>
    </xdr:from>
    <xdr:to>
      <xdr:col>23</xdr:col>
      <xdr:colOff>497840</xdr:colOff>
      <xdr:row>9</xdr:row>
      <xdr:rowOff>59267</xdr:rowOff>
    </xdr:to>
    <xdr:sp macro="" textlink="">
      <xdr:nvSpPr>
        <xdr:cNvPr id="14" name="Retângulo: Cantos Arredondados 13">
          <a:extLst>
            <a:ext uri="{FF2B5EF4-FFF2-40B4-BE49-F238E27FC236}">
              <a16:creationId xmlns:a16="http://schemas.microsoft.com/office/drawing/2014/main" id="{C3C54E05-33C1-406E-AA0B-F67A6CACBFF6}"/>
            </a:ext>
          </a:extLst>
        </xdr:cNvPr>
        <xdr:cNvSpPr/>
      </xdr:nvSpPr>
      <xdr:spPr>
        <a:xfrm>
          <a:off x="12628880" y="591820"/>
          <a:ext cx="1889760" cy="1143847"/>
        </a:xfrm>
        <a:prstGeom prst="roundRect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Dashboard</a:t>
          </a:r>
        </a:p>
      </xdr:txBody>
    </xdr:sp>
    <xdr:clientData/>
  </xdr:twoCellAnchor>
  <xdr:twoCellAnchor>
    <xdr:from>
      <xdr:col>20</xdr:col>
      <xdr:colOff>469053</xdr:colOff>
      <xdr:row>9</xdr:row>
      <xdr:rowOff>155786</xdr:rowOff>
    </xdr:from>
    <xdr:to>
      <xdr:col>23</xdr:col>
      <xdr:colOff>530013</xdr:colOff>
      <xdr:row>15</xdr:row>
      <xdr:rowOff>178646</xdr:rowOff>
    </xdr:to>
    <xdr:sp macro="" textlink="">
      <xdr:nvSpPr>
        <xdr:cNvPr id="24" name="Retângulo: Cantos Arredondados 23">
          <a:extLst>
            <a:ext uri="{FF2B5EF4-FFF2-40B4-BE49-F238E27FC236}">
              <a16:creationId xmlns:a16="http://schemas.microsoft.com/office/drawing/2014/main" id="{4B5027AA-029A-4546-A354-AAF0E9DCF26D}"/>
            </a:ext>
          </a:extLst>
        </xdr:cNvPr>
        <xdr:cNvSpPr/>
      </xdr:nvSpPr>
      <xdr:spPr>
        <a:xfrm>
          <a:off x="12661053" y="1832186"/>
          <a:ext cx="1889760" cy="1140460"/>
        </a:xfrm>
        <a:prstGeom prst="roundRect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Segmentadores de dados</a:t>
          </a:r>
          <a:br>
            <a:rPr lang="en-US" sz="1100"/>
          </a:br>
          <a:r>
            <a:rPr lang="en-US" sz="1100"/>
            <a:t>(Produto)</a:t>
          </a:r>
          <a:br>
            <a:rPr lang="en-US" sz="1100"/>
          </a:br>
          <a:r>
            <a:rPr lang="en-US" sz="1100"/>
            <a:t>(Faixa</a:t>
          </a:r>
          <a:r>
            <a:rPr lang="en-US" sz="1100" baseline="0"/>
            <a:t> Etária)</a:t>
          </a:r>
        </a:p>
        <a:p>
          <a:pPr algn="ctr"/>
          <a:r>
            <a:rPr lang="en-US" sz="1100" baseline="0"/>
            <a:t>(Região)</a:t>
          </a:r>
          <a:br>
            <a:rPr lang="en-US" sz="1100" baseline="0"/>
          </a:br>
          <a:r>
            <a:rPr lang="en-US" sz="1100" baseline="0"/>
            <a:t>(Genero)</a:t>
          </a:r>
          <a:endParaRPr lang="en-US" sz="1100"/>
        </a:p>
      </xdr:txBody>
    </xdr:sp>
    <xdr:clientData/>
  </xdr:twoCellAnchor>
  <xdr:twoCellAnchor>
    <xdr:from>
      <xdr:col>0</xdr:col>
      <xdr:colOff>152400</xdr:colOff>
      <xdr:row>0</xdr:row>
      <xdr:rowOff>93134</xdr:rowOff>
    </xdr:from>
    <xdr:to>
      <xdr:col>4</xdr:col>
      <xdr:colOff>296333</xdr:colOff>
      <xdr:row>3</xdr:row>
      <xdr:rowOff>33868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376790C4-E655-E2EB-6E2C-D4159AADE88E}"/>
            </a:ext>
          </a:extLst>
        </xdr:cNvPr>
        <xdr:cNvSpPr/>
      </xdr:nvSpPr>
      <xdr:spPr>
        <a:xfrm>
          <a:off x="152400" y="93134"/>
          <a:ext cx="2582333" cy="499534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800" b="1"/>
            <a:t>Planejamento</a:t>
          </a:r>
        </a:p>
      </xdr:txBody>
    </xdr:sp>
    <xdr:clientData/>
  </xdr:twoCellAnchor>
  <xdr:twoCellAnchor>
    <xdr:from>
      <xdr:col>4</xdr:col>
      <xdr:colOff>347133</xdr:colOff>
      <xdr:row>0</xdr:row>
      <xdr:rowOff>110068</xdr:rowOff>
    </xdr:from>
    <xdr:to>
      <xdr:col>8</xdr:col>
      <xdr:colOff>364066</xdr:colOff>
      <xdr:row>3</xdr:row>
      <xdr:rowOff>50802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10D316EF-0ECD-438A-9610-DAD23ECEF46A}"/>
            </a:ext>
          </a:extLst>
        </xdr:cNvPr>
        <xdr:cNvSpPr/>
      </xdr:nvSpPr>
      <xdr:spPr>
        <a:xfrm>
          <a:off x="2785533" y="110068"/>
          <a:ext cx="2455333" cy="499534"/>
        </a:xfrm>
        <a:prstGeom prst="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800" b="1"/>
            <a:t>Limpeza</a:t>
          </a:r>
        </a:p>
      </xdr:txBody>
    </xdr:sp>
    <xdr:clientData/>
  </xdr:twoCellAnchor>
  <xdr:twoCellAnchor>
    <xdr:from>
      <xdr:col>8</xdr:col>
      <xdr:colOff>482599</xdr:colOff>
      <xdr:row>0</xdr:row>
      <xdr:rowOff>110068</xdr:rowOff>
    </xdr:from>
    <xdr:to>
      <xdr:col>16</xdr:col>
      <xdr:colOff>42332</xdr:colOff>
      <xdr:row>3</xdr:row>
      <xdr:rowOff>50802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BA1B99B3-EE0D-4840-8EC5-B2CCE06E7458}"/>
            </a:ext>
          </a:extLst>
        </xdr:cNvPr>
        <xdr:cNvSpPr/>
      </xdr:nvSpPr>
      <xdr:spPr>
        <a:xfrm>
          <a:off x="5359399" y="110068"/>
          <a:ext cx="4436533" cy="499534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800" b="1"/>
            <a:t>Análise</a:t>
          </a:r>
        </a:p>
      </xdr:txBody>
    </xdr:sp>
    <xdr:clientData/>
  </xdr:twoCellAnchor>
  <xdr:twoCellAnchor>
    <xdr:from>
      <xdr:col>16</xdr:col>
      <xdr:colOff>287866</xdr:colOff>
      <xdr:row>0</xdr:row>
      <xdr:rowOff>76201</xdr:rowOff>
    </xdr:from>
    <xdr:to>
      <xdr:col>23</xdr:col>
      <xdr:colOff>457199</xdr:colOff>
      <xdr:row>3</xdr:row>
      <xdr:rowOff>16935</xdr:rowOff>
    </xdr:to>
    <xdr:sp macro="" textlink="">
      <xdr:nvSpPr>
        <xdr:cNvPr id="25" name="Retângulo 24">
          <a:extLst>
            <a:ext uri="{FF2B5EF4-FFF2-40B4-BE49-F238E27FC236}">
              <a16:creationId xmlns:a16="http://schemas.microsoft.com/office/drawing/2014/main" id="{260520EB-C094-4B49-AF56-BD63FC98B31F}"/>
            </a:ext>
          </a:extLst>
        </xdr:cNvPr>
        <xdr:cNvSpPr/>
      </xdr:nvSpPr>
      <xdr:spPr>
        <a:xfrm>
          <a:off x="10041466" y="76201"/>
          <a:ext cx="4436533" cy="499534"/>
        </a:xfrm>
        <a:prstGeom prst="rect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800" b="1"/>
            <a:t>Design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287540</xdr:colOff>
      <xdr:row>16</xdr:row>
      <xdr:rowOff>27992</xdr:rowOff>
    </xdr:from>
    <xdr:to>
      <xdr:col>19</xdr:col>
      <xdr:colOff>23327</xdr:colOff>
      <xdr:row>35</xdr:row>
      <xdr:rowOff>171061</xdr:rowOff>
    </xdr:to>
    <xdr:sp macro="" textlink="">
      <xdr:nvSpPr>
        <xdr:cNvPr id="51" name="Retângulo: Cantos Arredondados 50">
          <a:extLst>
            <a:ext uri="{FF2B5EF4-FFF2-40B4-BE49-F238E27FC236}">
              <a16:creationId xmlns:a16="http://schemas.microsoft.com/office/drawing/2014/main" id="{829B99A1-1F9C-4C5D-970E-D71309F2C7C5}"/>
            </a:ext>
          </a:extLst>
        </xdr:cNvPr>
        <xdr:cNvSpPr/>
      </xdr:nvSpPr>
      <xdr:spPr>
        <a:xfrm>
          <a:off x="8778397" y="3013788"/>
          <a:ext cx="2768236" cy="3688702"/>
        </a:xfrm>
        <a:prstGeom prst="roundRect">
          <a:avLst>
            <a:gd name="adj" fmla="val 7778"/>
          </a:avLst>
        </a:prstGeom>
        <a:solidFill>
          <a:schemeClr val="tx2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150689</xdr:colOff>
      <xdr:row>16</xdr:row>
      <xdr:rowOff>38871</xdr:rowOff>
    </xdr:from>
    <xdr:to>
      <xdr:col>14</xdr:col>
      <xdr:colOff>147734</xdr:colOff>
      <xdr:row>35</xdr:row>
      <xdr:rowOff>186611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D1814537-FB0D-3DFD-C451-AE8D093CCCF0}"/>
            </a:ext>
          </a:extLst>
        </xdr:cNvPr>
        <xdr:cNvSpPr/>
      </xdr:nvSpPr>
      <xdr:spPr>
        <a:xfrm>
          <a:off x="2576648" y="3024667"/>
          <a:ext cx="6061943" cy="3693373"/>
        </a:xfrm>
        <a:prstGeom prst="roundRect">
          <a:avLst>
            <a:gd name="adj" fmla="val 7778"/>
          </a:avLst>
        </a:prstGeom>
        <a:solidFill>
          <a:schemeClr val="tx2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422834</xdr:colOff>
      <xdr:row>4</xdr:row>
      <xdr:rowOff>46654</xdr:rowOff>
    </xdr:from>
    <xdr:to>
      <xdr:col>14</xdr:col>
      <xdr:colOff>171062</xdr:colOff>
      <xdr:row>15</xdr:row>
      <xdr:rowOff>46653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086901CA-F13E-40F8-92B5-CFE1FE878A24}"/>
            </a:ext>
          </a:extLst>
        </xdr:cNvPr>
        <xdr:cNvSpPr/>
      </xdr:nvSpPr>
      <xdr:spPr>
        <a:xfrm>
          <a:off x="2242303" y="793103"/>
          <a:ext cx="6419616" cy="2052734"/>
        </a:xfrm>
        <a:prstGeom prst="roundRect">
          <a:avLst>
            <a:gd name="adj" fmla="val 7778"/>
          </a:avLst>
        </a:prstGeom>
        <a:solidFill>
          <a:schemeClr val="tx2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107147</xdr:colOff>
      <xdr:row>0</xdr:row>
      <xdr:rowOff>76356</xdr:rowOff>
    </xdr:from>
    <xdr:to>
      <xdr:col>4</xdr:col>
      <xdr:colOff>69047</xdr:colOff>
      <xdr:row>36</xdr:row>
      <xdr:rowOff>15396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1F6D734C-0741-D4B8-62F5-CABC4950528A}"/>
            </a:ext>
          </a:extLst>
        </xdr:cNvPr>
        <xdr:cNvSpPr/>
      </xdr:nvSpPr>
      <xdr:spPr>
        <a:xfrm>
          <a:off x="107147" y="76356"/>
          <a:ext cx="2387859" cy="6657081"/>
        </a:xfrm>
        <a:prstGeom prst="roundRect">
          <a:avLst>
            <a:gd name="adj" fmla="val 7778"/>
          </a:avLst>
        </a:prstGeom>
        <a:solidFill>
          <a:schemeClr val="tx2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15551</xdr:colOff>
      <xdr:row>6</xdr:row>
      <xdr:rowOff>44944</xdr:rowOff>
    </xdr:from>
    <xdr:to>
      <xdr:col>7</xdr:col>
      <xdr:colOff>256298</xdr:colOff>
      <xdr:row>13</xdr:row>
      <xdr:rowOff>37324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FFE8708C-42EC-45F7-223E-37BFC0CFE7DE}"/>
            </a:ext>
          </a:extLst>
        </xdr:cNvPr>
        <xdr:cNvSpPr/>
      </xdr:nvSpPr>
      <xdr:spPr>
        <a:xfrm>
          <a:off x="2441510" y="1164617"/>
          <a:ext cx="2060217" cy="1298666"/>
        </a:xfrm>
        <a:prstGeom prst="roundRect">
          <a:avLst>
            <a:gd name="adj" fmla="val 13673"/>
          </a:avLst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101082</xdr:colOff>
      <xdr:row>0</xdr:row>
      <xdr:rowOff>132181</xdr:rowOff>
    </xdr:from>
    <xdr:to>
      <xdr:col>23</xdr:col>
      <xdr:colOff>536511</xdr:colOff>
      <xdr:row>4</xdr:row>
      <xdr:rowOff>7772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AD275048-CC49-4F42-7D98-6A7BC7B7A39A}"/>
            </a:ext>
          </a:extLst>
        </xdr:cNvPr>
        <xdr:cNvSpPr txBox="1"/>
      </xdr:nvSpPr>
      <xdr:spPr>
        <a:xfrm>
          <a:off x="2527041" y="132181"/>
          <a:ext cx="11958735" cy="622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400" b="1">
              <a:solidFill>
                <a:schemeClr val="bg1"/>
              </a:solidFill>
              <a:effectLst>
                <a:glow rad="63500">
                  <a:schemeClr val="accent2">
                    <a:satMod val="175000"/>
                    <a:alpha val="40000"/>
                  </a:schemeClr>
                </a:glow>
              </a:effectLst>
              <a:latin typeface="+mn-lt"/>
            </a:rPr>
            <a:t>Análise Quantitativa de </a:t>
          </a:r>
          <a:r>
            <a:rPr lang="en-US" sz="3400" b="1" baseline="0">
              <a:solidFill>
                <a:schemeClr val="bg1"/>
              </a:solidFill>
              <a:effectLst>
                <a:glow rad="63500">
                  <a:schemeClr val="accent2">
                    <a:satMod val="175000"/>
                    <a:alpha val="40000"/>
                  </a:schemeClr>
                </a:glow>
              </a:effectLst>
              <a:latin typeface="+mn-lt"/>
            </a:rPr>
            <a:t>Produtos por Assinatura Região Sul - </a:t>
          </a:r>
          <a:r>
            <a:rPr lang="en-US" sz="3400" b="1" baseline="0">
              <a:solidFill>
                <a:schemeClr val="accent1"/>
              </a:solidFill>
              <a:effectLst>
                <a:glow rad="63500">
                  <a:schemeClr val="accent2">
                    <a:satMod val="175000"/>
                    <a:alpha val="40000"/>
                  </a:schemeClr>
                </a:glow>
              </a:effectLst>
              <a:latin typeface="+mn-lt"/>
            </a:rPr>
            <a:t>2025</a:t>
          </a:r>
          <a:endParaRPr lang="en-US" sz="3400" b="1">
            <a:solidFill>
              <a:schemeClr val="accent1"/>
            </a:solidFill>
            <a:effectLst>
              <a:glow rad="63500">
                <a:schemeClr val="accent2">
                  <a:satMod val="175000"/>
                  <a:alpha val="40000"/>
                </a:schemeClr>
              </a:glow>
            </a:effectLst>
            <a:latin typeface="+mn-lt"/>
          </a:endParaRPr>
        </a:p>
      </xdr:txBody>
    </xdr:sp>
    <xdr:clientData/>
  </xdr:twoCellAnchor>
  <xdr:twoCellAnchor>
    <xdr:from>
      <xdr:col>4</xdr:col>
      <xdr:colOff>51338</xdr:colOff>
      <xdr:row>6</xdr:row>
      <xdr:rowOff>77754</xdr:rowOff>
    </xdr:from>
    <xdr:to>
      <xdr:col>7</xdr:col>
      <xdr:colOff>575407</xdr:colOff>
      <xdr:row>8</xdr:row>
      <xdr:rowOff>155510</xdr:rowOff>
    </xdr:to>
    <xdr:sp macro="" textlink="#REF!">
      <xdr:nvSpPr>
        <xdr:cNvPr id="14" name="CaixaDeTexto 13">
          <a:extLst>
            <a:ext uri="{FF2B5EF4-FFF2-40B4-BE49-F238E27FC236}">
              <a16:creationId xmlns:a16="http://schemas.microsoft.com/office/drawing/2014/main" id="{90D0DB93-17CD-45AA-8B2F-7BCB50A562BF}"/>
            </a:ext>
          </a:extLst>
        </xdr:cNvPr>
        <xdr:cNvSpPr txBox="1"/>
      </xdr:nvSpPr>
      <xdr:spPr>
        <a:xfrm>
          <a:off x="2477297" y="1197427"/>
          <a:ext cx="2343539" cy="4509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600" b="1" baseline="0">
              <a:solidFill>
                <a:schemeClr val="bg1"/>
              </a:solidFill>
              <a:latin typeface="+mn-lt"/>
            </a:rPr>
            <a:t>Base Assinantes</a:t>
          </a:r>
          <a:endParaRPr lang="en-US" sz="1600" b="1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4</xdr:col>
      <xdr:colOff>93324</xdr:colOff>
      <xdr:row>6</xdr:row>
      <xdr:rowOff>186612</xdr:rowOff>
    </xdr:from>
    <xdr:to>
      <xdr:col>4</xdr:col>
      <xdr:colOff>93324</xdr:colOff>
      <xdr:row>8</xdr:row>
      <xdr:rowOff>29387</xdr:rowOff>
    </xdr:to>
    <xdr:cxnSp macro="">
      <xdr:nvCxnSpPr>
        <xdr:cNvPr id="17" name="Conector reto 16">
          <a:extLst>
            <a:ext uri="{FF2B5EF4-FFF2-40B4-BE49-F238E27FC236}">
              <a16:creationId xmlns:a16="http://schemas.microsoft.com/office/drawing/2014/main" id="{6FA36D93-3843-46AA-7B54-C7AF272D6007}"/>
            </a:ext>
          </a:extLst>
        </xdr:cNvPr>
        <xdr:cNvCxnSpPr/>
      </xdr:nvCxnSpPr>
      <xdr:spPr>
        <a:xfrm>
          <a:off x="2519283" y="1306285"/>
          <a:ext cx="0" cy="216000"/>
        </a:xfrm>
        <a:prstGeom prst="line">
          <a:avLst/>
        </a:prstGeom>
        <a:ln w="57150" cap="rnd">
          <a:solidFill>
            <a:schemeClr val="bg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351465</xdr:colOff>
      <xdr:row>16</xdr:row>
      <xdr:rowOff>69985</xdr:rowOff>
    </xdr:from>
    <xdr:to>
      <xdr:col>9</xdr:col>
      <xdr:colOff>147731</xdr:colOff>
      <xdr:row>18</xdr:row>
      <xdr:rowOff>90202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82CFA683-5084-4489-B17D-6194E45FE2D6}"/>
            </a:ext>
          </a:extLst>
        </xdr:cNvPr>
        <xdr:cNvSpPr txBox="1"/>
      </xdr:nvSpPr>
      <xdr:spPr>
        <a:xfrm>
          <a:off x="2777424" y="3055781"/>
          <a:ext cx="2828715" cy="3934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600" b="1" i="0" u="none" strike="noStrike">
              <a:solidFill>
                <a:schemeClr val="bg1"/>
              </a:solidFill>
              <a:latin typeface="+mn-lt"/>
            </a:rPr>
            <a:t>Análise</a:t>
          </a:r>
          <a:r>
            <a:rPr lang="en-US" sz="1600" b="1" i="0" u="none" strike="noStrike" baseline="0">
              <a:solidFill>
                <a:schemeClr val="bg1"/>
              </a:solidFill>
              <a:latin typeface="+mn-lt"/>
            </a:rPr>
            <a:t> da Base de Assinantes </a:t>
          </a:r>
          <a:endParaRPr lang="en-US" sz="1600" b="1" i="0" u="none" strike="noStrike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4</xdr:col>
      <xdr:colOff>315696</xdr:colOff>
      <xdr:row>17</xdr:row>
      <xdr:rowOff>35773</xdr:rowOff>
    </xdr:from>
    <xdr:to>
      <xdr:col>4</xdr:col>
      <xdr:colOff>318794</xdr:colOff>
      <xdr:row>19</xdr:row>
      <xdr:rowOff>77761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4FC5F7B2-9665-44AB-BA85-89D84EC331BB}"/>
            </a:ext>
          </a:extLst>
        </xdr:cNvPr>
        <xdr:cNvCxnSpPr/>
      </xdr:nvCxnSpPr>
      <xdr:spPr>
        <a:xfrm>
          <a:off x="2741655" y="3208181"/>
          <a:ext cx="3098" cy="415213"/>
        </a:xfrm>
        <a:prstGeom prst="line">
          <a:avLst/>
        </a:prstGeom>
        <a:ln w="57150" cap="rnd">
          <a:solidFill>
            <a:schemeClr val="bg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348356</xdr:colOff>
      <xdr:row>17</xdr:row>
      <xdr:rowOff>113528</xdr:rowOff>
    </xdr:from>
    <xdr:to>
      <xdr:col>7</xdr:col>
      <xdr:colOff>505406</xdr:colOff>
      <xdr:row>19</xdr:row>
      <xdr:rowOff>133744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D5A49CF1-C81D-4D13-8B71-A401ED822089}"/>
            </a:ext>
          </a:extLst>
        </xdr:cNvPr>
        <xdr:cNvSpPr txBox="1"/>
      </xdr:nvSpPr>
      <xdr:spPr>
        <a:xfrm>
          <a:off x="2774315" y="3285936"/>
          <a:ext cx="1976520" cy="3934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400" b="0" i="0" u="none" strike="noStrike" baseline="0">
              <a:solidFill>
                <a:schemeClr val="bg1"/>
              </a:solidFill>
              <a:latin typeface="+mn-lt"/>
            </a:rPr>
            <a:t>por</a:t>
          </a:r>
          <a:r>
            <a:rPr lang="en-US" sz="1400" b="1" i="0" u="none" strike="noStrike" baseline="0">
              <a:solidFill>
                <a:schemeClr val="bg1"/>
              </a:solidFill>
              <a:latin typeface="+mn-lt"/>
            </a:rPr>
            <a:t> </a:t>
          </a:r>
          <a:r>
            <a:rPr lang="en-US" sz="1400" b="1" i="0" u="none" strike="noStrike" baseline="0">
              <a:solidFill>
                <a:schemeClr val="accent2"/>
              </a:solidFill>
              <a:latin typeface="+mn-lt"/>
            </a:rPr>
            <a:t>gênero</a:t>
          </a:r>
          <a:r>
            <a:rPr lang="en-US" sz="1400" b="1" i="0" u="none" strike="noStrike" baseline="0">
              <a:solidFill>
                <a:schemeClr val="bg1"/>
              </a:solidFill>
              <a:latin typeface="+mn-lt"/>
            </a:rPr>
            <a:t> </a:t>
          </a:r>
          <a:r>
            <a:rPr lang="en-US" sz="1400" b="0" i="0" u="none" strike="noStrike" baseline="0">
              <a:solidFill>
                <a:schemeClr val="bg1"/>
              </a:solidFill>
              <a:latin typeface="+mn-lt"/>
            </a:rPr>
            <a:t>e</a:t>
          </a:r>
          <a:r>
            <a:rPr lang="en-US" sz="1400" b="1" i="0" u="none" strike="noStrike" baseline="0">
              <a:solidFill>
                <a:schemeClr val="bg1"/>
              </a:solidFill>
              <a:latin typeface="+mn-lt"/>
            </a:rPr>
            <a:t> </a:t>
          </a:r>
          <a:r>
            <a:rPr lang="en-US" sz="1400" b="1" i="0" u="none" strike="noStrike" baseline="0">
              <a:solidFill>
                <a:schemeClr val="accent2"/>
              </a:solidFill>
              <a:latin typeface="+mn-lt"/>
            </a:rPr>
            <a:t>faixa etária </a:t>
          </a:r>
          <a:endParaRPr lang="en-US" sz="1400" b="1" i="0" u="none" strike="noStrike">
            <a:solidFill>
              <a:schemeClr val="accent2"/>
            </a:solidFill>
            <a:latin typeface="+mn-lt"/>
          </a:endParaRPr>
        </a:p>
      </xdr:txBody>
    </xdr:sp>
    <xdr:clientData/>
  </xdr:twoCellAnchor>
  <xdr:twoCellAnchor>
    <xdr:from>
      <xdr:col>19</xdr:col>
      <xdr:colOff>231724</xdr:colOff>
      <xdr:row>16</xdr:row>
      <xdr:rowOff>66883</xdr:rowOff>
    </xdr:from>
    <xdr:to>
      <xdr:col>23</xdr:col>
      <xdr:colOff>559836</xdr:colOff>
      <xdr:row>18</xdr:row>
      <xdr:rowOff>87100</xdr:rowOff>
    </xdr:to>
    <xdr:sp macro="" textlink="">
      <xdr:nvSpPr>
        <xdr:cNvPr id="34" name="CaixaDeTexto 33">
          <a:extLst>
            <a:ext uri="{FF2B5EF4-FFF2-40B4-BE49-F238E27FC236}">
              <a16:creationId xmlns:a16="http://schemas.microsoft.com/office/drawing/2014/main" id="{9D940992-3116-4700-B511-62960D4CE6F4}"/>
            </a:ext>
          </a:extLst>
        </xdr:cNvPr>
        <xdr:cNvSpPr txBox="1"/>
      </xdr:nvSpPr>
      <xdr:spPr>
        <a:xfrm>
          <a:off x="11755030" y="3052679"/>
          <a:ext cx="2754071" cy="3934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600" b="1" i="0" u="none" strike="noStrike">
              <a:solidFill>
                <a:schemeClr val="bg1"/>
              </a:solidFill>
              <a:latin typeface="+mn-lt"/>
            </a:rPr>
            <a:t>Análise</a:t>
          </a:r>
          <a:r>
            <a:rPr lang="en-US" sz="1600" b="1" i="0" u="none" strike="noStrike" baseline="0">
              <a:solidFill>
                <a:schemeClr val="bg1"/>
              </a:solidFill>
              <a:latin typeface="+mn-lt"/>
            </a:rPr>
            <a:t> da Base de Assinantes </a:t>
          </a:r>
          <a:endParaRPr lang="en-US" sz="1600" b="1" i="0" u="none" strike="noStrike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19</xdr:col>
      <xdr:colOff>195955</xdr:colOff>
      <xdr:row>16</xdr:row>
      <xdr:rowOff>164851</xdr:rowOff>
    </xdr:from>
    <xdr:to>
      <xdr:col>19</xdr:col>
      <xdr:colOff>199053</xdr:colOff>
      <xdr:row>19</xdr:row>
      <xdr:rowOff>20227</xdr:rowOff>
    </xdr:to>
    <xdr:cxnSp macro="">
      <xdr:nvCxnSpPr>
        <xdr:cNvPr id="35" name="Conector reto 34">
          <a:extLst>
            <a:ext uri="{FF2B5EF4-FFF2-40B4-BE49-F238E27FC236}">
              <a16:creationId xmlns:a16="http://schemas.microsoft.com/office/drawing/2014/main" id="{9EB3452C-5B5B-4631-BB58-91B684880E7C}"/>
            </a:ext>
          </a:extLst>
        </xdr:cNvPr>
        <xdr:cNvCxnSpPr/>
      </xdr:nvCxnSpPr>
      <xdr:spPr>
        <a:xfrm>
          <a:off x="11719261" y="3150647"/>
          <a:ext cx="3098" cy="415213"/>
        </a:xfrm>
        <a:prstGeom prst="line">
          <a:avLst/>
        </a:prstGeom>
        <a:ln w="57150" cap="rnd">
          <a:solidFill>
            <a:schemeClr val="bg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251942</xdr:colOff>
      <xdr:row>17</xdr:row>
      <xdr:rowOff>102651</xdr:rowOff>
    </xdr:from>
    <xdr:to>
      <xdr:col>22</xdr:col>
      <xdr:colOff>408992</xdr:colOff>
      <xdr:row>19</xdr:row>
      <xdr:rowOff>122867</xdr:rowOff>
    </xdr:to>
    <xdr:sp macro="" textlink="">
      <xdr:nvSpPr>
        <xdr:cNvPr id="36" name="CaixaDeTexto 35">
          <a:extLst>
            <a:ext uri="{FF2B5EF4-FFF2-40B4-BE49-F238E27FC236}">
              <a16:creationId xmlns:a16="http://schemas.microsoft.com/office/drawing/2014/main" id="{6D05C3AF-4FC5-43EC-8044-C356DB8B9ABA}"/>
            </a:ext>
          </a:extLst>
        </xdr:cNvPr>
        <xdr:cNvSpPr txBox="1"/>
      </xdr:nvSpPr>
      <xdr:spPr>
        <a:xfrm>
          <a:off x="11775248" y="3275059"/>
          <a:ext cx="1976520" cy="3934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400" b="0" i="0" u="none" strike="noStrike" baseline="0">
              <a:solidFill>
                <a:schemeClr val="bg1"/>
              </a:solidFill>
              <a:latin typeface="+mn-lt"/>
            </a:rPr>
            <a:t>por</a:t>
          </a:r>
          <a:r>
            <a:rPr lang="en-US" sz="1400" b="1" i="0" u="none" strike="noStrike" baseline="0">
              <a:solidFill>
                <a:schemeClr val="bg1"/>
              </a:solidFill>
              <a:latin typeface="+mn-lt"/>
            </a:rPr>
            <a:t> </a:t>
          </a:r>
          <a:r>
            <a:rPr lang="en-US" sz="1400" b="1" i="0" u="none" strike="noStrike" baseline="0">
              <a:solidFill>
                <a:schemeClr val="accent2"/>
              </a:solidFill>
              <a:latin typeface="+mn-lt"/>
            </a:rPr>
            <a:t>estado</a:t>
          </a:r>
          <a:endParaRPr lang="en-US" sz="1400" b="1" i="0" u="none" strike="noStrike">
            <a:solidFill>
              <a:schemeClr val="accent2"/>
            </a:solidFill>
            <a:latin typeface="+mn-lt"/>
          </a:endParaRPr>
        </a:p>
      </xdr:txBody>
    </xdr:sp>
    <xdr:clientData/>
  </xdr:twoCellAnchor>
  <xdr:twoCellAnchor>
    <xdr:from>
      <xdr:col>14</xdr:col>
      <xdr:colOff>492972</xdr:colOff>
      <xdr:row>4</xdr:row>
      <xdr:rowOff>102639</xdr:rowOff>
    </xdr:from>
    <xdr:to>
      <xdr:col>22</xdr:col>
      <xdr:colOff>311020</xdr:colOff>
      <xdr:row>6</xdr:row>
      <xdr:rowOff>122856</xdr:rowOff>
    </xdr:to>
    <xdr:sp macro="" textlink="">
      <xdr:nvSpPr>
        <xdr:cNvPr id="38" name="CaixaDeTexto 37">
          <a:extLst>
            <a:ext uri="{FF2B5EF4-FFF2-40B4-BE49-F238E27FC236}">
              <a16:creationId xmlns:a16="http://schemas.microsoft.com/office/drawing/2014/main" id="{CCF85253-1199-4F3A-895B-19BF24F2CF3E}"/>
            </a:ext>
          </a:extLst>
        </xdr:cNvPr>
        <xdr:cNvSpPr txBox="1"/>
      </xdr:nvSpPr>
      <xdr:spPr>
        <a:xfrm>
          <a:off x="8983829" y="849088"/>
          <a:ext cx="4669967" cy="3934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i="0" u="none" strike="noStrike">
              <a:solidFill>
                <a:schemeClr val="bg1"/>
              </a:solidFill>
              <a:latin typeface="+mn-lt"/>
            </a:rPr>
            <a:t>Análise</a:t>
          </a:r>
          <a:r>
            <a:rPr lang="en-US" sz="1600" b="1" i="0" u="none" strike="noStrike" baseline="0">
              <a:solidFill>
                <a:schemeClr val="bg1"/>
              </a:solidFill>
              <a:latin typeface="+mn-lt"/>
            </a:rPr>
            <a:t> de Assinantes </a:t>
          </a:r>
          <a:r>
            <a:rPr lang="en-US" sz="16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por</a:t>
          </a:r>
          <a:r>
            <a:rPr lang="en-US" sz="1600" b="1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600" b="1" i="0" baseline="0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produto vendido</a:t>
          </a:r>
          <a:endParaRPr lang="en-US" sz="1600">
            <a:solidFill>
              <a:schemeClr val="accent2"/>
            </a:solidFill>
            <a:effectLst/>
          </a:endParaRPr>
        </a:p>
        <a:p>
          <a:pPr algn="l"/>
          <a:endParaRPr lang="en-US" sz="1600" b="1" i="0" u="none" strike="noStrike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14</xdr:col>
      <xdr:colOff>503857</xdr:colOff>
      <xdr:row>4</xdr:row>
      <xdr:rowOff>130631</xdr:rowOff>
    </xdr:from>
    <xdr:to>
      <xdr:col>14</xdr:col>
      <xdr:colOff>506955</xdr:colOff>
      <xdr:row>6</xdr:row>
      <xdr:rowOff>172620</xdr:rowOff>
    </xdr:to>
    <xdr:cxnSp macro="">
      <xdr:nvCxnSpPr>
        <xdr:cNvPr id="39" name="Conector reto 38">
          <a:extLst>
            <a:ext uri="{FF2B5EF4-FFF2-40B4-BE49-F238E27FC236}">
              <a16:creationId xmlns:a16="http://schemas.microsoft.com/office/drawing/2014/main" id="{6FABDB41-8A34-4208-8ED0-EDBC97906459}"/>
            </a:ext>
          </a:extLst>
        </xdr:cNvPr>
        <xdr:cNvCxnSpPr/>
      </xdr:nvCxnSpPr>
      <xdr:spPr>
        <a:xfrm>
          <a:off x="8994714" y="877080"/>
          <a:ext cx="3098" cy="415213"/>
        </a:xfrm>
        <a:prstGeom prst="line">
          <a:avLst/>
        </a:prstGeom>
        <a:ln w="57150" cap="rnd">
          <a:solidFill>
            <a:schemeClr val="bg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374791</xdr:colOff>
      <xdr:row>5</xdr:row>
      <xdr:rowOff>183493</xdr:rowOff>
    </xdr:from>
    <xdr:to>
      <xdr:col>12</xdr:col>
      <xdr:colOff>536510</xdr:colOff>
      <xdr:row>8</xdr:row>
      <xdr:rowOff>74637</xdr:rowOff>
    </xdr:to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BEBB8496-A147-477B-BD17-3E74D51F635F}"/>
            </a:ext>
          </a:extLst>
        </xdr:cNvPr>
        <xdr:cNvSpPr txBox="1"/>
      </xdr:nvSpPr>
      <xdr:spPr>
        <a:xfrm>
          <a:off x="4620220" y="1116554"/>
          <a:ext cx="3194168" cy="4509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600" b="1" i="0" u="none" strike="noStrike">
              <a:solidFill>
                <a:schemeClr val="bg1"/>
              </a:solidFill>
              <a:latin typeface="+mn-lt"/>
            </a:rPr>
            <a:t>Receita</a:t>
          </a:r>
          <a:r>
            <a:rPr lang="en-US" sz="1600" b="1" i="0" u="none" strike="noStrike" baseline="0">
              <a:solidFill>
                <a:schemeClr val="bg1"/>
              </a:solidFill>
              <a:latin typeface="+mn-lt"/>
            </a:rPr>
            <a:t> de produtos por assinatura</a:t>
          </a:r>
          <a:endParaRPr lang="en-US" sz="1600" b="1" i="0" u="none" strike="noStrike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8</xdr:col>
      <xdr:colOff>517073</xdr:colOff>
      <xdr:row>9</xdr:row>
      <xdr:rowOff>62196</xdr:rowOff>
    </xdr:from>
    <xdr:to>
      <xdr:col>12</xdr:col>
      <xdr:colOff>165349</xdr:colOff>
      <xdr:row>9</xdr:row>
      <xdr:rowOff>85523</xdr:rowOff>
    </xdr:to>
    <xdr:cxnSp macro="">
      <xdr:nvCxnSpPr>
        <xdr:cNvPr id="45" name="Conector: Angulado 44">
          <a:extLst>
            <a:ext uri="{FF2B5EF4-FFF2-40B4-BE49-F238E27FC236}">
              <a16:creationId xmlns:a16="http://schemas.microsoft.com/office/drawing/2014/main" id="{36632698-F4C6-46DB-0629-49AB5CA9B6B1}"/>
            </a:ext>
          </a:extLst>
        </xdr:cNvPr>
        <xdr:cNvCxnSpPr>
          <a:cxnSpLocks/>
        </xdr:cNvCxnSpPr>
      </xdr:nvCxnSpPr>
      <xdr:spPr>
        <a:xfrm rot="16200000" flipH="1">
          <a:off x="6394445" y="716252"/>
          <a:ext cx="23327" cy="2074236"/>
        </a:xfrm>
        <a:prstGeom prst="bentConnector3">
          <a:avLst>
            <a:gd name="adj1" fmla="val -579989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317253</xdr:colOff>
      <xdr:row>11</xdr:row>
      <xdr:rowOff>48199</xdr:rowOff>
    </xdr:from>
    <xdr:to>
      <xdr:col>10</xdr:col>
      <xdr:colOff>46653</xdr:colOff>
      <xdr:row>13</xdr:row>
      <xdr:rowOff>125956</xdr:rowOff>
    </xdr:to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id="{EDD47780-C23B-4B79-B3F0-84697B7A8B13}"/>
            </a:ext>
          </a:extLst>
        </xdr:cNvPr>
        <xdr:cNvSpPr txBox="1"/>
      </xdr:nvSpPr>
      <xdr:spPr>
        <a:xfrm>
          <a:off x="4562682" y="2100934"/>
          <a:ext cx="1548869" cy="4509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 u="none" strike="noStrike">
              <a:solidFill>
                <a:schemeClr val="accent1"/>
              </a:solidFill>
              <a:latin typeface="+mn-lt"/>
            </a:rPr>
            <a:t>(MENSALIDADE)</a:t>
          </a:r>
        </a:p>
      </xdr:txBody>
    </xdr:sp>
    <xdr:clientData/>
  </xdr:twoCellAnchor>
  <xdr:twoCellAnchor>
    <xdr:from>
      <xdr:col>11</xdr:col>
      <xdr:colOff>49775</xdr:colOff>
      <xdr:row>11</xdr:row>
      <xdr:rowOff>76191</xdr:rowOff>
    </xdr:from>
    <xdr:to>
      <xdr:col>13</xdr:col>
      <xdr:colOff>385665</xdr:colOff>
      <xdr:row>13</xdr:row>
      <xdr:rowOff>153948</xdr:rowOff>
    </xdr:to>
    <xdr:sp macro="" textlink="">
      <xdr:nvSpPr>
        <xdr:cNvPr id="48" name="CaixaDeTexto 47">
          <a:extLst>
            <a:ext uri="{FF2B5EF4-FFF2-40B4-BE49-F238E27FC236}">
              <a16:creationId xmlns:a16="http://schemas.microsoft.com/office/drawing/2014/main" id="{1317D8D1-904E-498B-87D8-4C9D8D82629B}"/>
            </a:ext>
          </a:extLst>
        </xdr:cNvPr>
        <xdr:cNvSpPr txBox="1"/>
      </xdr:nvSpPr>
      <xdr:spPr>
        <a:xfrm>
          <a:off x="6721163" y="2128926"/>
          <a:ext cx="1548869" cy="4509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 u="none" strike="noStrike">
              <a:solidFill>
                <a:schemeClr val="accent1"/>
              </a:solidFill>
              <a:latin typeface="+mn-lt"/>
            </a:rPr>
            <a:t>(PREVISÃO</a:t>
          </a:r>
          <a:r>
            <a:rPr lang="en-US" sz="1200" b="1" i="0" u="none" strike="noStrike" baseline="0">
              <a:solidFill>
                <a:schemeClr val="accent1"/>
              </a:solidFill>
              <a:latin typeface="+mn-lt"/>
            </a:rPr>
            <a:t> </a:t>
          </a:r>
          <a:r>
            <a:rPr lang="en-US" sz="1200" b="1" i="0" u="none" strike="noStrike">
              <a:solidFill>
                <a:schemeClr val="accent1"/>
              </a:solidFill>
              <a:latin typeface="+mn-lt"/>
            </a:rPr>
            <a:t>ANUAL )</a:t>
          </a:r>
        </a:p>
      </xdr:txBody>
    </xdr:sp>
    <xdr:clientData/>
  </xdr:twoCellAnchor>
  <xdr:twoCellAnchor>
    <xdr:from>
      <xdr:col>9</xdr:col>
      <xdr:colOff>513184</xdr:colOff>
      <xdr:row>7</xdr:row>
      <xdr:rowOff>163278</xdr:rowOff>
    </xdr:from>
    <xdr:to>
      <xdr:col>11</xdr:col>
      <xdr:colOff>186611</xdr:colOff>
      <xdr:row>9</xdr:row>
      <xdr:rowOff>38871</xdr:rowOff>
    </xdr:to>
    <xdr:sp macro="" textlink="">
      <xdr:nvSpPr>
        <xdr:cNvPr id="50" name="Elipse 49">
          <a:extLst>
            <a:ext uri="{FF2B5EF4-FFF2-40B4-BE49-F238E27FC236}">
              <a16:creationId xmlns:a16="http://schemas.microsoft.com/office/drawing/2014/main" id="{2F8AC325-86CE-EDF3-11E7-F7C1F0DEB7D1}"/>
            </a:ext>
          </a:extLst>
        </xdr:cNvPr>
        <xdr:cNvSpPr/>
      </xdr:nvSpPr>
      <xdr:spPr>
        <a:xfrm>
          <a:off x="5971592" y="1469564"/>
          <a:ext cx="886407" cy="248817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x12</a:t>
          </a:r>
        </a:p>
      </xdr:txBody>
    </xdr:sp>
    <xdr:clientData/>
  </xdr:twoCellAnchor>
  <xdr:twoCellAnchor>
    <xdr:from>
      <xdr:col>14</xdr:col>
      <xdr:colOff>461879</xdr:colOff>
      <xdr:row>16</xdr:row>
      <xdr:rowOff>71548</xdr:rowOff>
    </xdr:from>
    <xdr:to>
      <xdr:col>19</xdr:col>
      <xdr:colOff>15551</xdr:colOff>
      <xdr:row>18</xdr:row>
      <xdr:rowOff>91765</xdr:rowOff>
    </xdr:to>
    <xdr:sp macro="" textlink="">
      <xdr:nvSpPr>
        <xdr:cNvPr id="70" name="CaixaDeTexto 69">
          <a:extLst>
            <a:ext uri="{FF2B5EF4-FFF2-40B4-BE49-F238E27FC236}">
              <a16:creationId xmlns:a16="http://schemas.microsoft.com/office/drawing/2014/main" id="{C41738B1-694A-417E-829B-B24776F9A011}"/>
            </a:ext>
          </a:extLst>
        </xdr:cNvPr>
        <xdr:cNvSpPr txBox="1"/>
      </xdr:nvSpPr>
      <xdr:spPr>
        <a:xfrm>
          <a:off x="8952736" y="3057344"/>
          <a:ext cx="2586121" cy="3934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600" b="1" i="0" u="none" strike="noStrike">
              <a:solidFill>
                <a:schemeClr val="bg1"/>
              </a:solidFill>
              <a:latin typeface="+mn-lt"/>
            </a:rPr>
            <a:t>Avaliação</a:t>
          </a:r>
          <a:r>
            <a:rPr lang="en-US" sz="1600" b="1" i="0" u="none" strike="noStrike" baseline="0">
              <a:solidFill>
                <a:schemeClr val="bg1"/>
              </a:solidFill>
              <a:latin typeface="+mn-lt"/>
            </a:rPr>
            <a:t> dos Clientes</a:t>
          </a:r>
          <a:endParaRPr lang="en-US" sz="1600" b="1" i="0" u="none" strike="noStrike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14</xdr:col>
      <xdr:colOff>426110</xdr:colOff>
      <xdr:row>16</xdr:row>
      <xdr:rowOff>177292</xdr:rowOff>
    </xdr:from>
    <xdr:to>
      <xdr:col>14</xdr:col>
      <xdr:colOff>429208</xdr:colOff>
      <xdr:row>19</xdr:row>
      <xdr:rowOff>32668</xdr:rowOff>
    </xdr:to>
    <xdr:cxnSp macro="">
      <xdr:nvCxnSpPr>
        <xdr:cNvPr id="71" name="Conector reto 70">
          <a:extLst>
            <a:ext uri="{FF2B5EF4-FFF2-40B4-BE49-F238E27FC236}">
              <a16:creationId xmlns:a16="http://schemas.microsoft.com/office/drawing/2014/main" id="{CE3926E9-404C-474C-B799-99B05705D549}"/>
            </a:ext>
          </a:extLst>
        </xdr:cNvPr>
        <xdr:cNvCxnSpPr/>
      </xdr:nvCxnSpPr>
      <xdr:spPr>
        <a:xfrm>
          <a:off x="8916967" y="3163088"/>
          <a:ext cx="3098" cy="415213"/>
        </a:xfrm>
        <a:prstGeom prst="line">
          <a:avLst/>
        </a:prstGeom>
        <a:ln w="57150" cap="rnd">
          <a:solidFill>
            <a:schemeClr val="bg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482097</xdr:colOff>
      <xdr:row>17</xdr:row>
      <xdr:rowOff>107316</xdr:rowOff>
    </xdr:from>
    <xdr:to>
      <xdr:col>18</xdr:col>
      <xdr:colOff>32658</xdr:colOff>
      <xdr:row>19</xdr:row>
      <xdr:rowOff>127532</xdr:rowOff>
    </xdr:to>
    <xdr:sp macro="" textlink="">
      <xdr:nvSpPr>
        <xdr:cNvPr id="72" name="CaixaDeTexto 71">
          <a:extLst>
            <a:ext uri="{FF2B5EF4-FFF2-40B4-BE49-F238E27FC236}">
              <a16:creationId xmlns:a16="http://schemas.microsoft.com/office/drawing/2014/main" id="{A5E47039-8A40-4DDD-AF1B-F271D754D760}"/>
            </a:ext>
          </a:extLst>
        </xdr:cNvPr>
        <xdr:cNvSpPr txBox="1"/>
      </xdr:nvSpPr>
      <xdr:spPr>
        <a:xfrm>
          <a:off x="8972954" y="3279724"/>
          <a:ext cx="1976520" cy="3934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400" b="1" i="0" u="none" strike="noStrike">
              <a:solidFill>
                <a:schemeClr val="accent2"/>
              </a:solidFill>
              <a:latin typeface="+mn-lt"/>
            </a:rPr>
            <a:t>pergunta do site</a:t>
          </a:r>
        </a:p>
      </xdr:txBody>
    </xdr:sp>
    <xdr:clientData/>
  </xdr:twoCellAnchor>
  <xdr:twoCellAnchor>
    <xdr:from>
      <xdr:col>0</xdr:col>
      <xdr:colOff>550518</xdr:colOff>
      <xdr:row>1</xdr:row>
      <xdr:rowOff>59099</xdr:rowOff>
    </xdr:from>
    <xdr:to>
      <xdr:col>2</xdr:col>
      <xdr:colOff>217714</xdr:colOff>
      <xdr:row>3</xdr:row>
      <xdr:rowOff>79315</xdr:rowOff>
    </xdr:to>
    <xdr:sp macro="" textlink="">
      <xdr:nvSpPr>
        <xdr:cNvPr id="78" name="CaixaDeTexto 77">
          <a:extLst>
            <a:ext uri="{FF2B5EF4-FFF2-40B4-BE49-F238E27FC236}">
              <a16:creationId xmlns:a16="http://schemas.microsoft.com/office/drawing/2014/main" id="{98ABA3FA-B758-443B-984A-DED581905821}"/>
            </a:ext>
          </a:extLst>
        </xdr:cNvPr>
        <xdr:cNvSpPr txBox="1"/>
      </xdr:nvSpPr>
      <xdr:spPr>
        <a:xfrm>
          <a:off x="550518" y="245711"/>
          <a:ext cx="880176" cy="3934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000" b="1" i="0" u="none" strike="noStrike">
              <a:solidFill>
                <a:schemeClr val="bg1"/>
              </a:solidFill>
              <a:latin typeface="+mn-lt"/>
            </a:rPr>
            <a:t>Filtros</a:t>
          </a:r>
        </a:p>
      </xdr:txBody>
    </xdr:sp>
    <xdr:clientData/>
  </xdr:twoCellAnchor>
  <xdr:twoCellAnchor editAs="oneCell">
    <xdr:from>
      <xdr:col>12</xdr:col>
      <xdr:colOff>505407</xdr:colOff>
      <xdr:row>5</xdr:row>
      <xdr:rowOff>93306</xdr:rowOff>
    </xdr:from>
    <xdr:to>
      <xdr:col>13</xdr:col>
      <xdr:colOff>575387</xdr:colOff>
      <xdr:row>9</xdr:row>
      <xdr:rowOff>23326</xdr:rowOff>
    </xdr:to>
    <xdr:pic>
      <xdr:nvPicPr>
        <xdr:cNvPr id="85" name="Gráfico 84" descr="Moedas com preenchimento sólido">
          <a:extLst>
            <a:ext uri="{FF2B5EF4-FFF2-40B4-BE49-F238E27FC236}">
              <a16:creationId xmlns:a16="http://schemas.microsoft.com/office/drawing/2014/main" id="{EDE7D249-67BB-B243-5E90-2CADFAC2B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783285" y="1026367"/>
          <a:ext cx="676469" cy="676469"/>
        </a:xfrm>
        <a:prstGeom prst="rect">
          <a:avLst/>
        </a:prstGeom>
      </xdr:spPr>
    </xdr:pic>
    <xdr:clientData/>
  </xdr:twoCellAnchor>
  <xdr:twoCellAnchor editAs="oneCell">
    <xdr:from>
      <xdr:col>4</xdr:col>
      <xdr:colOff>118898</xdr:colOff>
      <xdr:row>8</xdr:row>
      <xdr:rowOff>15551</xdr:rowOff>
    </xdr:from>
    <xdr:to>
      <xdr:col>5</xdr:col>
      <xdr:colOff>111122</xdr:colOff>
      <xdr:row>11</xdr:row>
      <xdr:rowOff>54428</xdr:rowOff>
    </xdr:to>
    <xdr:pic>
      <xdr:nvPicPr>
        <xdr:cNvPr id="87" name="Gráfico 86" descr="Grupo de homens com preenchimento sólido">
          <a:extLst>
            <a:ext uri="{FF2B5EF4-FFF2-40B4-BE49-F238E27FC236}">
              <a16:creationId xmlns:a16="http://schemas.microsoft.com/office/drawing/2014/main" id="{984D6336-7198-13C8-ED91-28C899F62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544857" y="1508449"/>
          <a:ext cx="598714" cy="598714"/>
        </a:xfrm>
        <a:prstGeom prst="rect">
          <a:avLst/>
        </a:prstGeom>
      </xdr:spPr>
    </xdr:pic>
    <xdr:clientData/>
  </xdr:twoCellAnchor>
  <xdr:twoCellAnchor editAs="oneCell">
    <xdr:from>
      <xdr:col>0</xdr:col>
      <xdr:colOff>222245</xdr:colOff>
      <xdr:row>1</xdr:row>
      <xdr:rowOff>4530</xdr:rowOff>
    </xdr:from>
    <xdr:to>
      <xdr:col>1</xdr:col>
      <xdr:colOff>54429</xdr:colOff>
      <xdr:row>3</xdr:row>
      <xdr:rowOff>69979</xdr:rowOff>
    </xdr:to>
    <xdr:pic>
      <xdr:nvPicPr>
        <xdr:cNvPr id="89" name="Gráfico 88" descr="Filtro com preenchimento sólido">
          <a:extLst>
            <a:ext uri="{FF2B5EF4-FFF2-40B4-BE49-F238E27FC236}">
              <a16:creationId xmlns:a16="http://schemas.microsoft.com/office/drawing/2014/main" id="{8CCA3E9E-8A3D-423E-18B9-63367B47E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22245" y="191142"/>
          <a:ext cx="438674" cy="438674"/>
        </a:xfrm>
        <a:prstGeom prst="rect">
          <a:avLst/>
        </a:prstGeom>
      </xdr:spPr>
    </xdr:pic>
    <xdr:clientData/>
  </xdr:twoCellAnchor>
  <xdr:twoCellAnchor>
    <xdr:from>
      <xdr:col>4</xdr:col>
      <xdr:colOff>513184</xdr:colOff>
      <xdr:row>8</xdr:row>
      <xdr:rowOff>171061</xdr:rowOff>
    </xdr:from>
    <xdr:to>
      <xdr:col>7</xdr:col>
      <xdr:colOff>287694</xdr:colOff>
      <xdr:row>13</xdr:row>
      <xdr:rowOff>163286</xdr:rowOff>
    </xdr:to>
    <xdr:sp macro="" textlink="Análise!C13">
      <xdr:nvSpPr>
        <xdr:cNvPr id="8" name="CaixaDeTexto 7">
          <a:extLst>
            <a:ext uri="{FF2B5EF4-FFF2-40B4-BE49-F238E27FC236}">
              <a16:creationId xmlns:a16="http://schemas.microsoft.com/office/drawing/2014/main" id="{8B6F8C6B-A45C-61E9-93D9-DA147A399F55}"/>
            </a:ext>
          </a:extLst>
        </xdr:cNvPr>
        <xdr:cNvSpPr txBox="1"/>
      </xdr:nvSpPr>
      <xdr:spPr>
        <a:xfrm>
          <a:off x="2939143" y="1663959"/>
          <a:ext cx="1593980" cy="9252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C6F2C577-C843-47AD-A8A6-CD3B53FEFB48}" type="TxLink">
            <a:rPr lang="en-US" sz="6000" b="1" i="0" u="none" strike="noStrike">
              <a:solidFill>
                <a:schemeClr val="bg1"/>
              </a:solidFill>
              <a:latin typeface="Aptos Narrow"/>
            </a:rPr>
            <a:pPr algn="r"/>
            <a:t>802</a:t>
          </a:fld>
          <a:endParaRPr lang="pt-BR" sz="60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295470</xdr:colOff>
      <xdr:row>21</xdr:row>
      <xdr:rowOff>132184</xdr:rowOff>
    </xdr:from>
    <xdr:to>
      <xdr:col>14</xdr:col>
      <xdr:colOff>69980</xdr:colOff>
      <xdr:row>35</xdr:row>
      <xdr:rowOff>124407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978D424-41C1-44D9-9D43-51EECD3B59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311020</xdr:colOff>
      <xdr:row>17</xdr:row>
      <xdr:rowOff>62202</xdr:rowOff>
    </xdr:from>
    <xdr:to>
      <xdr:col>13</xdr:col>
      <xdr:colOff>405061</xdr:colOff>
      <xdr:row>19</xdr:row>
      <xdr:rowOff>156977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EA8A01D-093B-4BC5-B20C-2F14C1512F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311020</xdr:colOff>
      <xdr:row>19</xdr:row>
      <xdr:rowOff>93307</xdr:rowOff>
    </xdr:from>
    <xdr:to>
      <xdr:col>13</xdr:col>
      <xdr:colOff>405061</xdr:colOff>
      <xdr:row>22</xdr:row>
      <xdr:rowOff>1471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C8CD140-6C32-4054-B565-2900EDFE20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356132</xdr:colOff>
      <xdr:row>16</xdr:row>
      <xdr:rowOff>129080</xdr:rowOff>
    </xdr:from>
    <xdr:to>
      <xdr:col>11</xdr:col>
      <xdr:colOff>209940</xdr:colOff>
      <xdr:row>18</xdr:row>
      <xdr:rowOff>149297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75257912-0028-4004-AD47-B85FFB342F51}"/>
            </a:ext>
          </a:extLst>
        </xdr:cNvPr>
        <xdr:cNvSpPr txBox="1"/>
      </xdr:nvSpPr>
      <xdr:spPr>
        <a:xfrm>
          <a:off x="5814540" y="3114876"/>
          <a:ext cx="1066788" cy="3934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400" b="1" i="0" u="none" strike="noStrike">
              <a:solidFill>
                <a:schemeClr val="bg1"/>
              </a:solidFill>
              <a:latin typeface="+mn-lt"/>
            </a:rPr>
            <a:t>Feminino</a:t>
          </a:r>
        </a:p>
      </xdr:txBody>
    </xdr:sp>
    <xdr:clientData/>
  </xdr:twoCellAnchor>
  <xdr:twoCellAnchor>
    <xdr:from>
      <xdr:col>9</xdr:col>
      <xdr:colOff>360798</xdr:colOff>
      <xdr:row>18</xdr:row>
      <xdr:rowOff>164848</xdr:rowOff>
    </xdr:from>
    <xdr:to>
      <xdr:col>11</xdr:col>
      <xdr:colOff>214606</xdr:colOff>
      <xdr:row>20</xdr:row>
      <xdr:rowOff>185064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CE38DB00-8EE4-40EE-94D7-3766E11B65AC}"/>
            </a:ext>
          </a:extLst>
        </xdr:cNvPr>
        <xdr:cNvSpPr txBox="1"/>
      </xdr:nvSpPr>
      <xdr:spPr>
        <a:xfrm>
          <a:off x="5819206" y="3523868"/>
          <a:ext cx="1066788" cy="3934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400" b="1" i="0" u="none" strike="noStrike">
              <a:solidFill>
                <a:schemeClr val="bg1"/>
              </a:solidFill>
              <a:latin typeface="+mn-lt"/>
            </a:rPr>
            <a:t>Masculino</a:t>
          </a:r>
        </a:p>
      </xdr:txBody>
    </xdr:sp>
    <xdr:clientData/>
  </xdr:twoCellAnchor>
  <xdr:twoCellAnchor>
    <xdr:from>
      <xdr:col>12</xdr:col>
      <xdr:colOff>357673</xdr:colOff>
      <xdr:row>16</xdr:row>
      <xdr:rowOff>155511</xdr:rowOff>
    </xdr:from>
    <xdr:to>
      <xdr:col>13</xdr:col>
      <xdr:colOff>323462</xdr:colOff>
      <xdr:row>18</xdr:row>
      <xdr:rowOff>116634</xdr:rowOff>
    </xdr:to>
    <xdr:sp macro="" textlink="Análise!C11">
      <xdr:nvSpPr>
        <xdr:cNvPr id="13" name="CaixaDeTexto 12">
          <a:extLst>
            <a:ext uri="{FF2B5EF4-FFF2-40B4-BE49-F238E27FC236}">
              <a16:creationId xmlns:a16="http://schemas.microsoft.com/office/drawing/2014/main" id="{B58AD883-2117-408E-BD9A-E209E2191EB6}"/>
            </a:ext>
          </a:extLst>
        </xdr:cNvPr>
        <xdr:cNvSpPr txBox="1"/>
      </xdr:nvSpPr>
      <xdr:spPr>
        <a:xfrm>
          <a:off x="7635551" y="3141307"/>
          <a:ext cx="572278" cy="3343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F0B2026D-4693-45F9-BE20-687886D85161}" type="TxLink">
            <a:rPr lang="en-US" sz="1400" b="1" i="0" u="none" strike="noStrike">
              <a:solidFill>
                <a:schemeClr val="bg1"/>
              </a:solidFill>
              <a:latin typeface="Aptos Narrow"/>
            </a:rPr>
            <a:pPr algn="r"/>
            <a:t>352</a:t>
          </a:fld>
          <a:endParaRPr lang="en-US" sz="1800" b="1" i="0" u="none" strike="noStrike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12</xdr:col>
      <xdr:colOff>370114</xdr:colOff>
      <xdr:row>19</xdr:row>
      <xdr:rowOff>4666</xdr:rowOff>
    </xdr:from>
    <xdr:to>
      <xdr:col>13</xdr:col>
      <xdr:colOff>335903</xdr:colOff>
      <xdr:row>20</xdr:row>
      <xdr:rowOff>152401</xdr:rowOff>
    </xdr:to>
    <xdr:sp macro="" textlink="Análise!C12">
      <xdr:nvSpPr>
        <xdr:cNvPr id="15" name="CaixaDeTexto 14">
          <a:extLst>
            <a:ext uri="{FF2B5EF4-FFF2-40B4-BE49-F238E27FC236}">
              <a16:creationId xmlns:a16="http://schemas.microsoft.com/office/drawing/2014/main" id="{CB1C1C3A-669A-4B67-ABC7-96853D75EF13}"/>
            </a:ext>
          </a:extLst>
        </xdr:cNvPr>
        <xdr:cNvSpPr txBox="1"/>
      </xdr:nvSpPr>
      <xdr:spPr>
        <a:xfrm>
          <a:off x="7647992" y="3550299"/>
          <a:ext cx="572278" cy="3343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/>
          <a:fld id="{61484174-284F-4A2C-97F5-CBBEF1FC6B80}" type="TxLink">
            <a:rPr lang="en-US" sz="14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r"/>
            <a:t>450</a:t>
          </a:fld>
          <a:endParaRPr lang="en-US" sz="14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136850</xdr:colOff>
      <xdr:row>17</xdr:row>
      <xdr:rowOff>113524</xdr:rowOff>
    </xdr:from>
    <xdr:to>
      <xdr:col>14</xdr:col>
      <xdr:colOff>102638</xdr:colOff>
      <xdr:row>19</xdr:row>
      <xdr:rowOff>74646</xdr:rowOff>
    </xdr:to>
    <xdr:sp macro="" textlink="Análise!D11">
      <xdr:nvSpPr>
        <xdr:cNvPr id="16" name="CaixaDeTexto 15">
          <a:extLst>
            <a:ext uri="{FF2B5EF4-FFF2-40B4-BE49-F238E27FC236}">
              <a16:creationId xmlns:a16="http://schemas.microsoft.com/office/drawing/2014/main" id="{920BDF91-78F1-4E95-9BC7-4CA8EC583D27}"/>
            </a:ext>
          </a:extLst>
        </xdr:cNvPr>
        <xdr:cNvSpPr txBox="1"/>
      </xdr:nvSpPr>
      <xdr:spPr>
        <a:xfrm>
          <a:off x="8021217" y="3285932"/>
          <a:ext cx="572278" cy="3343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/>
          <a:fld id="{D4749334-C491-4B20-A475-3E4219605BA6}" type="TxLink">
            <a:rPr lang="en-US" sz="1200" b="1" i="0" u="none" strike="noStrike">
              <a:solidFill>
                <a:schemeClr val="accent1"/>
              </a:solidFill>
              <a:latin typeface="Aptos Narrow"/>
              <a:ea typeface="+mn-ea"/>
              <a:cs typeface="+mn-cs"/>
            </a:rPr>
            <a:pPr marL="0" indent="0" algn="r"/>
            <a:t>44%</a:t>
          </a:fld>
          <a:endParaRPr lang="en-US" sz="1200" b="1" i="0" u="none" strike="noStrike">
            <a:solidFill>
              <a:schemeClr val="accent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149291</xdr:colOff>
      <xdr:row>19</xdr:row>
      <xdr:rowOff>133740</xdr:rowOff>
    </xdr:from>
    <xdr:to>
      <xdr:col>14</xdr:col>
      <xdr:colOff>115079</xdr:colOff>
      <xdr:row>21</xdr:row>
      <xdr:rowOff>94863</xdr:rowOff>
    </xdr:to>
    <xdr:sp macro="" textlink="Análise!D12">
      <xdr:nvSpPr>
        <xdr:cNvPr id="18" name="CaixaDeTexto 17">
          <a:extLst>
            <a:ext uri="{FF2B5EF4-FFF2-40B4-BE49-F238E27FC236}">
              <a16:creationId xmlns:a16="http://schemas.microsoft.com/office/drawing/2014/main" id="{48207142-7E36-46FC-9984-BBDADA4248B9}"/>
            </a:ext>
          </a:extLst>
        </xdr:cNvPr>
        <xdr:cNvSpPr txBox="1"/>
      </xdr:nvSpPr>
      <xdr:spPr>
        <a:xfrm>
          <a:off x="8033658" y="3679373"/>
          <a:ext cx="572278" cy="3343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/>
          <a:fld id="{B401DC8B-0F04-4E44-BB6A-BBF4B48B9057}" type="TxLink">
            <a:rPr lang="en-US" sz="1200" b="1" i="0" u="none" strike="noStrike">
              <a:solidFill>
                <a:schemeClr val="accent1"/>
              </a:solidFill>
              <a:latin typeface="Aptos Narrow"/>
              <a:ea typeface="+mn-ea"/>
              <a:cs typeface="+mn-cs"/>
            </a:rPr>
            <a:pPr marL="0" indent="0" algn="r"/>
            <a:t>56%</a:t>
          </a:fld>
          <a:endParaRPr lang="en-US" sz="1200" b="1" i="0" u="none" strike="noStrike">
            <a:solidFill>
              <a:schemeClr val="accent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559836</xdr:colOff>
      <xdr:row>6</xdr:row>
      <xdr:rowOff>15551</xdr:rowOff>
    </xdr:from>
    <xdr:to>
      <xdr:col>23</xdr:col>
      <xdr:colOff>303245</xdr:colOff>
      <xdr:row>16</xdr:row>
      <xdr:rowOff>69980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93EF9B9F-0619-4608-8B3B-608F2AA379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22</xdr:col>
      <xdr:colOff>303243</xdr:colOff>
      <xdr:row>13</xdr:row>
      <xdr:rowOff>155510</xdr:rowOff>
    </xdr:from>
    <xdr:to>
      <xdr:col>23</xdr:col>
      <xdr:colOff>225489</xdr:colOff>
      <xdr:row>15</xdr:row>
      <xdr:rowOff>155510</xdr:rowOff>
    </xdr:to>
    <xdr:sp macro="" textlink="Análise!P12">
      <xdr:nvSpPr>
        <xdr:cNvPr id="20" name="CaixaDeTexto 19">
          <a:extLst>
            <a:ext uri="{FF2B5EF4-FFF2-40B4-BE49-F238E27FC236}">
              <a16:creationId xmlns:a16="http://schemas.microsoft.com/office/drawing/2014/main" id="{033AD618-9302-EDB7-C5B9-650532E2E41D}"/>
            </a:ext>
          </a:extLst>
        </xdr:cNvPr>
        <xdr:cNvSpPr txBox="1"/>
      </xdr:nvSpPr>
      <xdr:spPr>
        <a:xfrm>
          <a:off x="13646019" y="2581469"/>
          <a:ext cx="528735" cy="373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6390514D-8EDD-48FB-8EF2-2B7AB6006A93}" type="TxLink">
            <a:rPr lang="en-US" sz="1400" b="1" i="0" u="none" strike="noStrike">
              <a:solidFill>
                <a:schemeClr val="bg1"/>
              </a:solidFill>
              <a:latin typeface="Aptos Narrow"/>
            </a:rPr>
            <a:pPr algn="r"/>
            <a:t>802</a:t>
          </a:fld>
          <a:endParaRPr lang="pt-BR" sz="1400">
            <a:solidFill>
              <a:schemeClr val="bg1"/>
            </a:solidFill>
          </a:endParaRPr>
        </a:p>
      </xdr:txBody>
    </xdr:sp>
    <xdr:clientData/>
  </xdr:twoCellAnchor>
  <xdr:twoCellAnchor>
    <xdr:from>
      <xdr:col>21</xdr:col>
      <xdr:colOff>396550</xdr:colOff>
      <xdr:row>13</xdr:row>
      <xdr:rowOff>144623</xdr:rowOff>
    </xdr:from>
    <xdr:to>
      <xdr:col>22</xdr:col>
      <xdr:colOff>463417</xdr:colOff>
      <xdr:row>15</xdr:row>
      <xdr:rowOff>144623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F870A683-845E-4733-9D20-4020D58B45F3}"/>
            </a:ext>
          </a:extLst>
        </xdr:cNvPr>
        <xdr:cNvSpPr txBox="1"/>
      </xdr:nvSpPr>
      <xdr:spPr>
        <a:xfrm>
          <a:off x="13132836" y="2570582"/>
          <a:ext cx="673357" cy="373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400" b="1" i="0" u="none" strike="noStrike">
              <a:solidFill>
                <a:schemeClr val="bg1"/>
              </a:solidFill>
              <a:latin typeface="Aptos Narrow"/>
            </a:rPr>
            <a:t>Total:</a:t>
          </a:r>
        </a:p>
      </xdr:txBody>
    </xdr:sp>
    <xdr:clientData/>
  </xdr:twoCellAnchor>
  <xdr:twoCellAnchor>
    <xdr:from>
      <xdr:col>14</xdr:col>
      <xdr:colOff>303258</xdr:colOff>
      <xdr:row>19</xdr:row>
      <xdr:rowOff>115090</xdr:rowOff>
    </xdr:from>
    <xdr:to>
      <xdr:col>17</xdr:col>
      <xdr:colOff>583163</xdr:colOff>
      <xdr:row>21</xdr:row>
      <xdr:rowOff>135307</xdr:rowOff>
    </xdr:to>
    <xdr:sp macro="" textlink="Análise!AA16">
      <xdr:nvSpPr>
        <xdr:cNvPr id="33" name="CaixaDeTexto 32">
          <a:extLst>
            <a:ext uri="{FF2B5EF4-FFF2-40B4-BE49-F238E27FC236}">
              <a16:creationId xmlns:a16="http://schemas.microsoft.com/office/drawing/2014/main" id="{9EAB6672-CF20-41CD-B36F-72D306087873}"/>
            </a:ext>
          </a:extLst>
        </xdr:cNvPr>
        <xdr:cNvSpPr txBox="1"/>
      </xdr:nvSpPr>
      <xdr:spPr>
        <a:xfrm>
          <a:off x="8794115" y="3660723"/>
          <a:ext cx="2099375" cy="3934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F1E8BCD6-0C57-4489-951A-CB58EF6AA6B9}" type="TxLink">
            <a:rPr lang="en-US" sz="1600" b="1" i="0" u="none" strike="noStrike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l"/>
            <a:t>Produto Excelente</a:t>
          </a:fld>
          <a:endParaRPr lang="en-US" sz="1600" b="1" i="0" u="none" strike="noStrike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303258</xdr:colOff>
      <xdr:row>21</xdr:row>
      <xdr:rowOff>97540</xdr:rowOff>
    </xdr:from>
    <xdr:to>
      <xdr:col>17</xdr:col>
      <xdr:colOff>586273</xdr:colOff>
      <xdr:row>23</xdr:row>
      <xdr:rowOff>117756</xdr:rowOff>
    </xdr:to>
    <xdr:sp macro="" textlink="Análise!AA17">
      <xdr:nvSpPr>
        <xdr:cNvPr id="37" name="CaixaDeTexto 36">
          <a:extLst>
            <a:ext uri="{FF2B5EF4-FFF2-40B4-BE49-F238E27FC236}">
              <a16:creationId xmlns:a16="http://schemas.microsoft.com/office/drawing/2014/main" id="{F8E8FA9A-1D92-4F78-AAD9-C880FD0F53FE}"/>
            </a:ext>
          </a:extLst>
        </xdr:cNvPr>
        <xdr:cNvSpPr txBox="1"/>
      </xdr:nvSpPr>
      <xdr:spPr>
        <a:xfrm>
          <a:off x="8794115" y="4016397"/>
          <a:ext cx="2102485" cy="3934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3615C34-DD00-4D1E-A48E-0F85D4ED338D}" type="TxLink">
            <a:rPr lang="en-US" sz="1600" b="1" i="0" u="none" strike="noStrike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l"/>
            <a:t>Atendimento Bom</a:t>
          </a:fld>
          <a:endParaRPr lang="en-US" sz="1600" b="1" i="0" u="none" strike="noStrike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303258</xdr:colOff>
      <xdr:row>23</xdr:row>
      <xdr:rowOff>79989</xdr:rowOff>
    </xdr:from>
    <xdr:to>
      <xdr:col>17</xdr:col>
      <xdr:colOff>604934</xdr:colOff>
      <xdr:row>25</xdr:row>
      <xdr:rowOff>100206</xdr:rowOff>
    </xdr:to>
    <xdr:sp macro="" textlink="Análise!AA18">
      <xdr:nvSpPr>
        <xdr:cNvPr id="40" name="CaixaDeTexto 39">
          <a:extLst>
            <a:ext uri="{FF2B5EF4-FFF2-40B4-BE49-F238E27FC236}">
              <a16:creationId xmlns:a16="http://schemas.microsoft.com/office/drawing/2014/main" id="{0A4C759B-A234-4C0C-973A-7B818403BD1A}"/>
            </a:ext>
          </a:extLst>
        </xdr:cNvPr>
        <xdr:cNvSpPr txBox="1"/>
      </xdr:nvSpPr>
      <xdr:spPr>
        <a:xfrm>
          <a:off x="8794115" y="4372071"/>
          <a:ext cx="2121146" cy="3934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638E96AD-4272-4BE9-BB18-9C705DEDA9FA}" type="TxLink">
            <a:rPr lang="en-US" sz="1600" b="1" i="0" u="none" strike="noStrike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l"/>
            <a:t>Faltando Item</a:t>
          </a:fld>
          <a:endParaRPr lang="en-US" sz="1600" b="1" i="0" u="none" strike="noStrike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303258</xdr:colOff>
      <xdr:row>25</xdr:row>
      <xdr:rowOff>62439</xdr:rowOff>
    </xdr:from>
    <xdr:to>
      <xdr:col>18</xdr:col>
      <xdr:colOff>1555</xdr:colOff>
      <xdr:row>27</xdr:row>
      <xdr:rowOff>82655</xdr:rowOff>
    </xdr:to>
    <xdr:sp macro="" textlink="Análise!AA19">
      <xdr:nvSpPr>
        <xdr:cNvPr id="41" name="CaixaDeTexto 40">
          <a:extLst>
            <a:ext uri="{FF2B5EF4-FFF2-40B4-BE49-F238E27FC236}">
              <a16:creationId xmlns:a16="http://schemas.microsoft.com/office/drawing/2014/main" id="{E210E2C6-8F9B-496A-BDED-940575664E67}"/>
            </a:ext>
          </a:extLst>
        </xdr:cNvPr>
        <xdr:cNvSpPr txBox="1"/>
      </xdr:nvSpPr>
      <xdr:spPr>
        <a:xfrm>
          <a:off x="8794115" y="4727745"/>
          <a:ext cx="2124256" cy="3934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6BB20A22-C188-4DB1-98B6-227C2D48812B}" type="TxLink">
            <a:rPr lang="en-US" sz="1600" b="1" i="0" u="none" strike="noStrike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l"/>
            <a:t>Atraso na Entrega</a:t>
          </a:fld>
          <a:endParaRPr lang="en-US" sz="1600" b="1" i="0" u="none" strike="noStrike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303258</xdr:colOff>
      <xdr:row>27</xdr:row>
      <xdr:rowOff>44888</xdr:rowOff>
    </xdr:from>
    <xdr:to>
      <xdr:col>18</xdr:col>
      <xdr:colOff>51317</xdr:colOff>
      <xdr:row>29</xdr:row>
      <xdr:rowOff>65105</xdr:rowOff>
    </xdr:to>
    <xdr:sp macro="" textlink="Análise!AA20">
      <xdr:nvSpPr>
        <xdr:cNvPr id="42" name="CaixaDeTexto 41">
          <a:extLst>
            <a:ext uri="{FF2B5EF4-FFF2-40B4-BE49-F238E27FC236}">
              <a16:creationId xmlns:a16="http://schemas.microsoft.com/office/drawing/2014/main" id="{5416D396-17AD-42E5-BD53-DFC2B82E5F4C}"/>
            </a:ext>
          </a:extLst>
        </xdr:cNvPr>
        <xdr:cNvSpPr txBox="1"/>
      </xdr:nvSpPr>
      <xdr:spPr>
        <a:xfrm>
          <a:off x="8794115" y="5083419"/>
          <a:ext cx="2174018" cy="3934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E95AE0C-15D7-4178-AF91-419F88EB42B7}" type="TxLink">
            <a:rPr lang="en-US" sz="1600" b="1" i="0" u="none" strike="noStrike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l"/>
            <a:t>Suporte Ruim</a:t>
          </a:fld>
          <a:endParaRPr lang="en-US" sz="1600" b="1" i="0" u="none" strike="noStrike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303258</xdr:colOff>
      <xdr:row>29</xdr:row>
      <xdr:rowOff>27338</xdr:rowOff>
    </xdr:from>
    <xdr:to>
      <xdr:col>18</xdr:col>
      <xdr:colOff>85530</xdr:colOff>
      <xdr:row>31</xdr:row>
      <xdr:rowOff>47554</xdr:rowOff>
    </xdr:to>
    <xdr:sp macro="" textlink="Análise!AA21">
      <xdr:nvSpPr>
        <xdr:cNvPr id="44" name="CaixaDeTexto 43">
          <a:extLst>
            <a:ext uri="{FF2B5EF4-FFF2-40B4-BE49-F238E27FC236}">
              <a16:creationId xmlns:a16="http://schemas.microsoft.com/office/drawing/2014/main" id="{A556F04D-FDC4-4AD1-A332-C344D724F4DF}"/>
            </a:ext>
          </a:extLst>
        </xdr:cNvPr>
        <xdr:cNvSpPr txBox="1"/>
      </xdr:nvSpPr>
      <xdr:spPr>
        <a:xfrm>
          <a:off x="8794115" y="5439093"/>
          <a:ext cx="2208231" cy="3934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B46EF34-2275-45B0-AE35-1D3CDEB906F5}" type="TxLink">
            <a:rPr lang="en-US" sz="1600" b="1" i="0" u="none" strike="noStrike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l"/>
            <a:t>Embalagem Danificada</a:t>
          </a:fld>
          <a:endParaRPr lang="en-US" sz="1600" b="1" i="0" u="none" strike="noStrike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303258</xdr:colOff>
      <xdr:row>31</xdr:row>
      <xdr:rowOff>9787</xdr:rowOff>
    </xdr:from>
    <xdr:to>
      <xdr:col>18</xdr:col>
      <xdr:colOff>77755</xdr:colOff>
      <xdr:row>33</xdr:row>
      <xdr:rowOff>30004</xdr:rowOff>
    </xdr:to>
    <xdr:sp macro="" textlink="Análise!AA22">
      <xdr:nvSpPr>
        <xdr:cNvPr id="46" name="CaixaDeTexto 45">
          <a:extLst>
            <a:ext uri="{FF2B5EF4-FFF2-40B4-BE49-F238E27FC236}">
              <a16:creationId xmlns:a16="http://schemas.microsoft.com/office/drawing/2014/main" id="{F07026A5-5510-48E3-AE23-FFB5D84425B5}"/>
            </a:ext>
          </a:extLst>
        </xdr:cNvPr>
        <xdr:cNvSpPr txBox="1"/>
      </xdr:nvSpPr>
      <xdr:spPr>
        <a:xfrm>
          <a:off x="8794115" y="5794767"/>
          <a:ext cx="2200456" cy="3934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A213AF1-709A-4C51-93D1-20E6AF4F2CA5}" type="TxLink">
            <a:rPr lang="en-US" sz="1600" b="1" i="0" u="none" strike="noStrike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l"/>
            <a:t>Produto com defeito</a:t>
          </a:fld>
          <a:endParaRPr lang="en-US" sz="1600" b="1" i="0" u="none" strike="noStrike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303258</xdr:colOff>
      <xdr:row>32</xdr:row>
      <xdr:rowOff>178848</xdr:rowOff>
    </xdr:from>
    <xdr:to>
      <xdr:col>17</xdr:col>
      <xdr:colOff>597158</xdr:colOff>
      <xdr:row>35</xdr:row>
      <xdr:rowOff>12452</xdr:rowOff>
    </xdr:to>
    <xdr:sp macro="" textlink="Análise!AA23">
      <xdr:nvSpPr>
        <xdr:cNvPr id="49" name="CaixaDeTexto 48">
          <a:extLst>
            <a:ext uri="{FF2B5EF4-FFF2-40B4-BE49-F238E27FC236}">
              <a16:creationId xmlns:a16="http://schemas.microsoft.com/office/drawing/2014/main" id="{BEC253A8-6937-43A6-9BAC-CE3FD7939475}"/>
            </a:ext>
          </a:extLst>
        </xdr:cNvPr>
        <xdr:cNvSpPr txBox="1"/>
      </xdr:nvSpPr>
      <xdr:spPr>
        <a:xfrm>
          <a:off x="8794115" y="6150440"/>
          <a:ext cx="2113370" cy="3934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C5821D06-A2F3-47E9-8729-465BA960D07C}" type="TxLink">
            <a:rPr lang="en-US" sz="1600" b="1" i="0" u="none" strike="noStrike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l"/>
            <a:t>Boa qualidade</a:t>
          </a:fld>
          <a:endParaRPr lang="en-US" sz="1600" b="1" i="0" u="none" strike="noStrike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63769</xdr:colOff>
      <xdr:row>19</xdr:row>
      <xdr:rowOff>115090</xdr:rowOff>
    </xdr:from>
    <xdr:to>
      <xdr:col>19</xdr:col>
      <xdr:colOff>20214</xdr:colOff>
      <xdr:row>21</xdr:row>
      <xdr:rowOff>135307</xdr:rowOff>
    </xdr:to>
    <xdr:sp macro="" textlink="Análise!AB16">
      <xdr:nvSpPr>
        <xdr:cNvPr id="52" name="CaixaDeTexto 51">
          <a:extLst>
            <a:ext uri="{FF2B5EF4-FFF2-40B4-BE49-F238E27FC236}">
              <a16:creationId xmlns:a16="http://schemas.microsoft.com/office/drawing/2014/main" id="{1CC380E9-2A1B-4E73-83F7-BF191E168E59}"/>
            </a:ext>
          </a:extLst>
        </xdr:cNvPr>
        <xdr:cNvSpPr txBox="1"/>
      </xdr:nvSpPr>
      <xdr:spPr>
        <a:xfrm>
          <a:off x="10980585" y="3660723"/>
          <a:ext cx="562935" cy="3934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/>
          <a:fld id="{A9D36588-CF36-4A56-B311-2922B94EFF92}" type="TxLink">
            <a:rPr lang="en-US" sz="1600" b="1" i="0" u="none" strike="noStrike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r"/>
            <a:t>333</a:t>
          </a:fld>
          <a:endParaRPr lang="en-US" sz="1600" b="1" i="0" u="none" strike="noStrike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63769</xdr:colOff>
      <xdr:row>21</xdr:row>
      <xdr:rowOff>97540</xdr:rowOff>
    </xdr:from>
    <xdr:to>
      <xdr:col>19</xdr:col>
      <xdr:colOff>20214</xdr:colOff>
      <xdr:row>23</xdr:row>
      <xdr:rowOff>117756</xdr:rowOff>
    </xdr:to>
    <xdr:sp macro="" textlink="Análise!AB17">
      <xdr:nvSpPr>
        <xdr:cNvPr id="53" name="CaixaDeTexto 52">
          <a:extLst>
            <a:ext uri="{FF2B5EF4-FFF2-40B4-BE49-F238E27FC236}">
              <a16:creationId xmlns:a16="http://schemas.microsoft.com/office/drawing/2014/main" id="{4B86FF2C-1055-4177-8285-D277DCC4AF66}"/>
            </a:ext>
          </a:extLst>
        </xdr:cNvPr>
        <xdr:cNvSpPr txBox="1"/>
      </xdr:nvSpPr>
      <xdr:spPr>
        <a:xfrm>
          <a:off x="10980585" y="4016397"/>
          <a:ext cx="562935" cy="3934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/>
          <a:fld id="{5456B36B-7514-4C9C-8D95-6A8316430CF3}" type="TxLink">
            <a:rPr lang="en-US" sz="1600" b="1" i="0" u="none" strike="noStrike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r"/>
            <a:t>190</a:t>
          </a:fld>
          <a:endParaRPr lang="en-US" sz="1600" b="1" i="0" u="none" strike="noStrike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63769</xdr:colOff>
      <xdr:row>23</xdr:row>
      <xdr:rowOff>79989</xdr:rowOff>
    </xdr:from>
    <xdr:to>
      <xdr:col>19</xdr:col>
      <xdr:colOff>20214</xdr:colOff>
      <xdr:row>25</xdr:row>
      <xdr:rowOff>100206</xdr:rowOff>
    </xdr:to>
    <xdr:sp macro="" textlink="Análise!AB18">
      <xdr:nvSpPr>
        <xdr:cNvPr id="54" name="CaixaDeTexto 53">
          <a:extLst>
            <a:ext uri="{FF2B5EF4-FFF2-40B4-BE49-F238E27FC236}">
              <a16:creationId xmlns:a16="http://schemas.microsoft.com/office/drawing/2014/main" id="{AB64B64A-3C51-4DEE-A1A0-79D05DE0AF58}"/>
            </a:ext>
          </a:extLst>
        </xdr:cNvPr>
        <xdr:cNvSpPr txBox="1"/>
      </xdr:nvSpPr>
      <xdr:spPr>
        <a:xfrm>
          <a:off x="10980585" y="4372071"/>
          <a:ext cx="562935" cy="3934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/>
          <a:fld id="{BF11A0E6-EC21-4C3B-B886-A49803EB7B6A}" type="TxLink">
            <a:rPr lang="en-US" sz="1600" b="1" i="0" u="none" strike="noStrike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r"/>
            <a:t>70</a:t>
          </a:fld>
          <a:endParaRPr lang="en-US" sz="1600" b="1" i="0" u="none" strike="noStrike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63769</xdr:colOff>
      <xdr:row>25</xdr:row>
      <xdr:rowOff>62439</xdr:rowOff>
    </xdr:from>
    <xdr:to>
      <xdr:col>19</xdr:col>
      <xdr:colOff>20214</xdr:colOff>
      <xdr:row>27</xdr:row>
      <xdr:rowOff>82655</xdr:rowOff>
    </xdr:to>
    <xdr:sp macro="" textlink="Análise!AB19">
      <xdr:nvSpPr>
        <xdr:cNvPr id="55" name="CaixaDeTexto 54">
          <a:extLst>
            <a:ext uri="{FF2B5EF4-FFF2-40B4-BE49-F238E27FC236}">
              <a16:creationId xmlns:a16="http://schemas.microsoft.com/office/drawing/2014/main" id="{A5F62207-B0D2-4328-86FA-D637E39F8A97}"/>
            </a:ext>
          </a:extLst>
        </xdr:cNvPr>
        <xdr:cNvSpPr txBox="1"/>
      </xdr:nvSpPr>
      <xdr:spPr>
        <a:xfrm>
          <a:off x="10980585" y="4727745"/>
          <a:ext cx="562935" cy="3934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/>
          <a:fld id="{96F40652-1FF7-4EB6-8DDE-C20949182818}" type="TxLink">
            <a:rPr lang="en-US" sz="1600" b="1" i="0" u="none" strike="noStrike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r"/>
            <a:t>69</a:t>
          </a:fld>
          <a:endParaRPr lang="en-US" sz="1600" b="1" i="0" u="none" strike="noStrike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63769</xdr:colOff>
      <xdr:row>27</xdr:row>
      <xdr:rowOff>44888</xdr:rowOff>
    </xdr:from>
    <xdr:to>
      <xdr:col>19</xdr:col>
      <xdr:colOff>20214</xdr:colOff>
      <xdr:row>29</xdr:row>
      <xdr:rowOff>65105</xdr:rowOff>
    </xdr:to>
    <xdr:sp macro="" textlink="Análise!AB20">
      <xdr:nvSpPr>
        <xdr:cNvPr id="56" name="CaixaDeTexto 55">
          <a:extLst>
            <a:ext uri="{FF2B5EF4-FFF2-40B4-BE49-F238E27FC236}">
              <a16:creationId xmlns:a16="http://schemas.microsoft.com/office/drawing/2014/main" id="{DA96F121-6A2C-4099-ACB7-6F3B80297691}"/>
            </a:ext>
          </a:extLst>
        </xdr:cNvPr>
        <xdr:cNvSpPr txBox="1"/>
      </xdr:nvSpPr>
      <xdr:spPr>
        <a:xfrm>
          <a:off x="10980585" y="5083419"/>
          <a:ext cx="562935" cy="3934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/>
          <a:fld id="{359EFC34-43B8-4E1E-A0E0-B5BC428D169D}" type="TxLink">
            <a:rPr lang="en-US" sz="1600" b="1" i="0" u="none" strike="noStrike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r"/>
            <a:t>47</a:t>
          </a:fld>
          <a:endParaRPr lang="en-US" sz="1600" b="1" i="0" u="none" strike="noStrike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63769</xdr:colOff>
      <xdr:row>29</xdr:row>
      <xdr:rowOff>27338</xdr:rowOff>
    </xdr:from>
    <xdr:to>
      <xdr:col>19</xdr:col>
      <xdr:colOff>20214</xdr:colOff>
      <xdr:row>31</xdr:row>
      <xdr:rowOff>47554</xdr:rowOff>
    </xdr:to>
    <xdr:sp macro="" textlink="Análise!AB21">
      <xdr:nvSpPr>
        <xdr:cNvPr id="57" name="CaixaDeTexto 56">
          <a:extLst>
            <a:ext uri="{FF2B5EF4-FFF2-40B4-BE49-F238E27FC236}">
              <a16:creationId xmlns:a16="http://schemas.microsoft.com/office/drawing/2014/main" id="{6C38DA74-87A1-42B2-ABF4-27D8067B48B9}"/>
            </a:ext>
          </a:extLst>
        </xdr:cNvPr>
        <xdr:cNvSpPr txBox="1"/>
      </xdr:nvSpPr>
      <xdr:spPr>
        <a:xfrm>
          <a:off x="10980585" y="5439093"/>
          <a:ext cx="562935" cy="3934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/>
          <a:fld id="{96F55263-E616-443D-AA5D-2CDA4F92D865}" type="TxLink">
            <a:rPr lang="en-US" sz="1600" b="1" i="0" u="none" strike="noStrike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r"/>
            <a:t>47</a:t>
          </a:fld>
          <a:endParaRPr lang="en-US" sz="1600" b="1" i="0" u="none" strike="noStrike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63769</xdr:colOff>
      <xdr:row>31</xdr:row>
      <xdr:rowOff>9787</xdr:rowOff>
    </xdr:from>
    <xdr:to>
      <xdr:col>19</xdr:col>
      <xdr:colOff>20214</xdr:colOff>
      <xdr:row>33</xdr:row>
      <xdr:rowOff>30004</xdr:rowOff>
    </xdr:to>
    <xdr:sp macro="" textlink="Análise!AB22">
      <xdr:nvSpPr>
        <xdr:cNvPr id="58" name="CaixaDeTexto 57">
          <a:extLst>
            <a:ext uri="{FF2B5EF4-FFF2-40B4-BE49-F238E27FC236}">
              <a16:creationId xmlns:a16="http://schemas.microsoft.com/office/drawing/2014/main" id="{E7160AC2-6840-4FD1-A5AA-7591B7D2BEB0}"/>
            </a:ext>
          </a:extLst>
        </xdr:cNvPr>
        <xdr:cNvSpPr txBox="1"/>
      </xdr:nvSpPr>
      <xdr:spPr>
        <a:xfrm>
          <a:off x="10980585" y="5794767"/>
          <a:ext cx="562935" cy="3934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/>
          <a:fld id="{AC16707E-2791-4795-8E8B-44FF5396BE58}" type="TxLink">
            <a:rPr lang="en-US" sz="1600" b="1" i="0" u="none" strike="noStrike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r"/>
            <a:t>23</a:t>
          </a:fld>
          <a:endParaRPr lang="en-US" sz="1600" b="1" i="0" u="none" strike="noStrike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63769</xdr:colOff>
      <xdr:row>32</xdr:row>
      <xdr:rowOff>178848</xdr:rowOff>
    </xdr:from>
    <xdr:to>
      <xdr:col>19</xdr:col>
      <xdr:colOff>20214</xdr:colOff>
      <xdr:row>35</xdr:row>
      <xdr:rowOff>12452</xdr:rowOff>
    </xdr:to>
    <xdr:sp macro="" textlink="Análise!AB23">
      <xdr:nvSpPr>
        <xdr:cNvPr id="59" name="CaixaDeTexto 58">
          <a:extLst>
            <a:ext uri="{FF2B5EF4-FFF2-40B4-BE49-F238E27FC236}">
              <a16:creationId xmlns:a16="http://schemas.microsoft.com/office/drawing/2014/main" id="{8BF668B0-21D4-4F0E-B3BD-6E23B9B13D46}"/>
            </a:ext>
          </a:extLst>
        </xdr:cNvPr>
        <xdr:cNvSpPr txBox="1"/>
      </xdr:nvSpPr>
      <xdr:spPr>
        <a:xfrm>
          <a:off x="10980585" y="6150440"/>
          <a:ext cx="562935" cy="3934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/>
          <a:fld id="{5A324CBA-6E17-4F0C-A76D-397C47279C1E}" type="TxLink">
            <a:rPr lang="en-US" sz="1600" b="1" i="0" u="none" strike="noStrike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r"/>
            <a:t>23</a:t>
          </a:fld>
          <a:endParaRPr lang="en-US" sz="1600" b="1" i="0" u="none" strike="noStrike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318795</xdr:colOff>
      <xdr:row>19</xdr:row>
      <xdr:rowOff>163285</xdr:rowOff>
    </xdr:from>
    <xdr:to>
      <xdr:col>18</xdr:col>
      <xdr:colOff>592836</xdr:colOff>
      <xdr:row>21</xdr:row>
      <xdr:rowOff>85531</xdr:rowOff>
    </xdr:to>
    <xdr:sp macro="" textlink="">
      <xdr:nvSpPr>
        <xdr:cNvPr id="60" name="Retângulo: Cantos Arredondados 59">
          <a:extLst>
            <a:ext uri="{FF2B5EF4-FFF2-40B4-BE49-F238E27FC236}">
              <a16:creationId xmlns:a16="http://schemas.microsoft.com/office/drawing/2014/main" id="{53FB1C7A-6F10-A675-5101-DB46EF7A4656}"/>
            </a:ext>
          </a:extLst>
        </xdr:cNvPr>
        <xdr:cNvSpPr/>
      </xdr:nvSpPr>
      <xdr:spPr>
        <a:xfrm>
          <a:off x="8809652" y="3708918"/>
          <a:ext cx="2700000" cy="295470"/>
        </a:xfrm>
        <a:prstGeom prst="roundRect">
          <a:avLst>
            <a:gd name="adj" fmla="val 50000"/>
          </a:avLst>
        </a:prstGeom>
        <a:solidFill>
          <a:schemeClr val="accent1">
            <a:alpha val="30000"/>
          </a:schemeClr>
        </a:solidFill>
        <a:ln w="50800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307909</xdr:colOff>
      <xdr:row>33</xdr:row>
      <xdr:rowOff>35767</xdr:rowOff>
    </xdr:from>
    <xdr:to>
      <xdr:col>18</xdr:col>
      <xdr:colOff>581950</xdr:colOff>
      <xdr:row>34</xdr:row>
      <xdr:rowOff>144625</xdr:rowOff>
    </xdr:to>
    <xdr:sp macro="" textlink="">
      <xdr:nvSpPr>
        <xdr:cNvPr id="61" name="Retângulo: Cantos Arredondados 60">
          <a:extLst>
            <a:ext uri="{FF2B5EF4-FFF2-40B4-BE49-F238E27FC236}">
              <a16:creationId xmlns:a16="http://schemas.microsoft.com/office/drawing/2014/main" id="{39FDFFE0-2EFE-4FBD-9973-945FDEB06FAC}"/>
            </a:ext>
          </a:extLst>
        </xdr:cNvPr>
        <xdr:cNvSpPr/>
      </xdr:nvSpPr>
      <xdr:spPr>
        <a:xfrm>
          <a:off x="8798766" y="6193971"/>
          <a:ext cx="2700000" cy="295470"/>
        </a:xfrm>
        <a:prstGeom prst="roundRect">
          <a:avLst>
            <a:gd name="adj" fmla="val 50000"/>
          </a:avLst>
        </a:prstGeom>
        <a:solidFill>
          <a:schemeClr val="accent2">
            <a:alpha val="30000"/>
          </a:schemeClr>
        </a:solidFill>
        <a:ln w="50800"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101082</xdr:colOff>
      <xdr:row>19</xdr:row>
      <xdr:rowOff>93305</xdr:rowOff>
    </xdr:from>
    <xdr:to>
      <xdr:col>24</xdr:col>
      <xdr:colOff>7776</xdr:colOff>
      <xdr:row>36</xdr:row>
      <xdr:rowOff>116633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62" name="Gráfico 61">
              <a:extLst>
                <a:ext uri="{FF2B5EF4-FFF2-40B4-BE49-F238E27FC236}">
                  <a16:creationId xmlns:a16="http://schemas.microsoft.com/office/drawing/2014/main" id="{8551781E-F4B7-4307-853B-AC9E841517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64432" y="3712805"/>
              <a:ext cx="2954694" cy="32618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21</xdr:col>
      <xdr:colOff>150858</xdr:colOff>
      <xdr:row>21</xdr:row>
      <xdr:rowOff>1570</xdr:rowOff>
    </xdr:from>
    <xdr:to>
      <xdr:col>23</xdr:col>
      <xdr:colOff>93306</xdr:colOff>
      <xdr:row>24</xdr:row>
      <xdr:rowOff>1</xdr:rowOff>
    </xdr:to>
    <xdr:sp macro="" textlink="Análise!W12">
      <xdr:nvSpPr>
        <xdr:cNvPr id="63" name="CaixaDeTexto 62">
          <a:extLst>
            <a:ext uri="{FF2B5EF4-FFF2-40B4-BE49-F238E27FC236}">
              <a16:creationId xmlns:a16="http://schemas.microsoft.com/office/drawing/2014/main" id="{B7CBD683-F981-46C1-860A-A62A1598F8AB}"/>
            </a:ext>
          </a:extLst>
        </xdr:cNvPr>
        <xdr:cNvSpPr txBox="1"/>
      </xdr:nvSpPr>
      <xdr:spPr>
        <a:xfrm>
          <a:off x="12887144" y="3920427"/>
          <a:ext cx="1155427" cy="558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730914E-FF8A-4FE7-B8BC-6640EA8D99D1}" type="TxLink">
            <a:rPr lang="en-US" sz="4000" b="1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pPr marL="0" indent="0" algn="l"/>
            <a:t>27%</a:t>
          </a:fld>
          <a:endParaRPr lang="en-US" sz="4000" b="1" i="0" u="none" strike="noStrike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476250</xdr:colOff>
      <xdr:row>25</xdr:row>
      <xdr:rowOff>29561</xdr:rowOff>
    </xdr:from>
    <xdr:to>
      <xdr:col>23</xdr:col>
      <xdr:colOff>368170</xdr:colOff>
      <xdr:row>27</xdr:row>
      <xdr:rowOff>155510</xdr:rowOff>
    </xdr:to>
    <xdr:sp macro="" textlink="Análise!W14">
      <xdr:nvSpPr>
        <xdr:cNvPr id="64" name="CaixaDeTexto 63">
          <a:extLst>
            <a:ext uri="{FF2B5EF4-FFF2-40B4-BE49-F238E27FC236}">
              <a16:creationId xmlns:a16="http://schemas.microsoft.com/office/drawing/2014/main" id="{6FADEA58-D4BB-498A-B1E2-D8A600227E34}"/>
            </a:ext>
          </a:extLst>
        </xdr:cNvPr>
        <xdr:cNvSpPr txBox="1"/>
      </xdr:nvSpPr>
      <xdr:spPr>
        <a:xfrm>
          <a:off x="13315561" y="4889255"/>
          <a:ext cx="1116563" cy="5147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2DF33D23-1D8D-49BB-9EF0-6B09494E23B3}" type="TxLink">
            <a:rPr lang="en-US" sz="4000" b="1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pPr marL="0" indent="0" algn="l"/>
            <a:t>22%</a:t>
          </a:fld>
          <a:endParaRPr lang="en-US" sz="4000" b="1" i="0" u="none" strike="noStrike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416780</xdr:colOff>
      <xdr:row>29</xdr:row>
      <xdr:rowOff>18675</xdr:rowOff>
    </xdr:from>
    <xdr:to>
      <xdr:col>22</xdr:col>
      <xdr:colOff>359227</xdr:colOff>
      <xdr:row>32</xdr:row>
      <xdr:rowOff>17106</xdr:rowOff>
    </xdr:to>
    <xdr:sp macro="" textlink="Análise!W13">
      <xdr:nvSpPr>
        <xdr:cNvPr id="65" name="CaixaDeTexto 64">
          <a:extLst>
            <a:ext uri="{FF2B5EF4-FFF2-40B4-BE49-F238E27FC236}">
              <a16:creationId xmlns:a16="http://schemas.microsoft.com/office/drawing/2014/main" id="{4F92A683-750A-416A-BD28-B18AB5E7B2B9}"/>
            </a:ext>
          </a:extLst>
        </xdr:cNvPr>
        <xdr:cNvSpPr txBox="1"/>
      </xdr:nvSpPr>
      <xdr:spPr>
        <a:xfrm>
          <a:off x="12546576" y="5430430"/>
          <a:ext cx="1155427" cy="558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0AE20E07-87B1-46A8-9E3C-57D611A7030F}" type="TxLink">
            <a:rPr lang="en-US" sz="4000" b="1" i="0" u="none" strike="noStrike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pPr marL="0" indent="0" algn="l"/>
            <a:t>51%</a:t>
          </a:fld>
          <a:endParaRPr lang="en-US" sz="4000" b="1" i="0" u="none" strike="noStrike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334346</xdr:colOff>
      <xdr:row>9</xdr:row>
      <xdr:rowOff>69979</xdr:rowOff>
    </xdr:from>
    <xdr:to>
      <xdr:col>10</xdr:col>
      <xdr:colOff>171061</xdr:colOff>
      <xdr:row>12</xdr:row>
      <xdr:rowOff>51317</xdr:rowOff>
    </xdr:to>
    <xdr:sp macro="" textlink="Análise!AG6">
      <xdr:nvSpPr>
        <xdr:cNvPr id="66" name="CaixaDeTexto 65">
          <a:extLst>
            <a:ext uri="{FF2B5EF4-FFF2-40B4-BE49-F238E27FC236}">
              <a16:creationId xmlns:a16="http://schemas.microsoft.com/office/drawing/2014/main" id="{61973AB9-975B-4E6E-9508-82AD369E279F}"/>
            </a:ext>
          </a:extLst>
        </xdr:cNvPr>
        <xdr:cNvSpPr txBox="1"/>
      </xdr:nvSpPr>
      <xdr:spPr>
        <a:xfrm>
          <a:off x="4579775" y="1749489"/>
          <a:ext cx="1656184" cy="541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6ADB3CFB-FBBB-432F-907D-E07BE0E29CCD}" type="TxLink">
            <a:rPr lang="en-US" sz="32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R$ 26 k</a:t>
          </a:fld>
          <a:endParaRPr lang="en-US" sz="32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572278</xdr:colOff>
      <xdr:row>9</xdr:row>
      <xdr:rowOff>82420</xdr:rowOff>
    </xdr:from>
    <xdr:to>
      <xdr:col>13</xdr:col>
      <xdr:colOff>408993</xdr:colOff>
      <xdr:row>12</xdr:row>
      <xdr:rowOff>63758</xdr:rowOff>
    </xdr:to>
    <xdr:sp macro="" textlink="Análise!AH6">
      <xdr:nvSpPr>
        <xdr:cNvPr id="67" name="CaixaDeTexto 66">
          <a:extLst>
            <a:ext uri="{FF2B5EF4-FFF2-40B4-BE49-F238E27FC236}">
              <a16:creationId xmlns:a16="http://schemas.microsoft.com/office/drawing/2014/main" id="{64463C50-B5BA-4B51-881F-16E72F315CE6}"/>
            </a:ext>
          </a:extLst>
        </xdr:cNvPr>
        <xdr:cNvSpPr txBox="1"/>
      </xdr:nvSpPr>
      <xdr:spPr>
        <a:xfrm>
          <a:off x="6637176" y="1761930"/>
          <a:ext cx="1656184" cy="541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0DE1625D-9454-4730-A49A-17EA20C668D2}" type="TxLink">
            <a:rPr lang="en-US" sz="3200" b="1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R$ 318 k</a:t>
          </a:fld>
          <a:endParaRPr lang="pt-BR" sz="32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181402</xdr:colOff>
      <xdr:row>27</xdr:row>
      <xdr:rowOff>170285</xdr:rowOff>
    </xdr:from>
    <xdr:to>
      <xdr:col>3</xdr:col>
      <xdr:colOff>575933</xdr:colOff>
      <xdr:row>34</xdr:row>
      <xdr:rowOff>139960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8" name="Região">
              <a:extLst>
                <a:ext uri="{FF2B5EF4-FFF2-40B4-BE49-F238E27FC236}">
                  <a16:creationId xmlns:a16="http://schemas.microsoft.com/office/drawing/2014/main" id="{C9DB0594-E03A-4F09-8675-1A6E181FCD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ã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1402" y="5208816"/>
              <a:ext cx="2214000" cy="12759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181402</xdr:colOff>
      <xdr:row>9</xdr:row>
      <xdr:rowOff>4511</xdr:rowOff>
    </xdr:from>
    <xdr:to>
      <xdr:col>3</xdr:col>
      <xdr:colOff>575933</xdr:colOff>
      <xdr:row>17</xdr:row>
      <xdr:rowOff>36546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9" name="Assinatura">
              <a:extLst>
                <a:ext uri="{FF2B5EF4-FFF2-40B4-BE49-F238E27FC236}">
                  <a16:creationId xmlns:a16="http://schemas.microsoft.com/office/drawing/2014/main" id="{E41D38EB-61BA-4747-9D02-0CBE9DD7FD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ssinatur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1402" y="1684021"/>
              <a:ext cx="2214000" cy="152493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181402</xdr:colOff>
      <xdr:row>18</xdr:row>
      <xdr:rowOff>95486</xdr:rowOff>
    </xdr:from>
    <xdr:to>
      <xdr:col>3</xdr:col>
      <xdr:colOff>575933</xdr:colOff>
      <xdr:row>26</xdr:row>
      <xdr:rowOff>111346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3" name="Faixa-Etária">
              <a:extLst>
                <a:ext uri="{FF2B5EF4-FFF2-40B4-BE49-F238E27FC236}">
                  <a16:creationId xmlns:a16="http://schemas.microsoft.com/office/drawing/2014/main" id="{EA84230A-8A45-4FB1-A068-62109BB240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aixa-Etá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1402" y="3454506"/>
              <a:ext cx="2214000" cy="150875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181402</xdr:colOff>
      <xdr:row>4</xdr:row>
      <xdr:rowOff>7775</xdr:rowOff>
    </xdr:from>
    <xdr:to>
      <xdr:col>3</xdr:col>
      <xdr:colOff>575933</xdr:colOff>
      <xdr:row>7</xdr:row>
      <xdr:rowOff>132183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4" name="Gênero">
              <a:extLst>
                <a:ext uri="{FF2B5EF4-FFF2-40B4-BE49-F238E27FC236}">
                  <a16:creationId xmlns:a16="http://schemas.microsoft.com/office/drawing/2014/main" id="{C8B65D9C-DD2E-43CD-89F6-E44BC918A2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êner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1402" y="754224"/>
              <a:ext cx="2214000" cy="6842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phael" refreshedDate="45418.620701157408" createdVersion="8" refreshedVersion="8" minRefreshableVersion="3" recordCount="802" xr:uid="{FF231224-231D-439F-8F66-CBD132F6E2D9}">
  <cacheSource type="worksheet">
    <worksheetSource name="tBase"/>
  </cacheSource>
  <cacheFields count="12">
    <cacheField name="CPF" numFmtId="164">
      <sharedItems containsSemiMixedTypes="0" containsString="0" containsNumber="1" containsInteger="1" minValue="22251128276" maxValue="99687496489"/>
    </cacheField>
    <cacheField name="Nome" numFmtId="0">
      <sharedItems/>
    </cacheField>
    <cacheField name="Gênero" numFmtId="0">
      <sharedItems count="2">
        <s v="Masculino"/>
        <s v="Feminino"/>
      </sharedItems>
    </cacheField>
    <cacheField name="Nivel de Estudos" numFmtId="0">
      <sharedItems count="5">
        <s v="Ensino Médio"/>
        <s v="Superior"/>
        <s v="Mestrado"/>
        <s v="Pós-Graduação"/>
        <s v="Doutorado"/>
      </sharedItems>
    </cacheField>
    <cacheField name="Interesse/Hobbie" numFmtId="0">
      <sharedItems/>
    </cacheField>
    <cacheField name="Região" numFmtId="0">
      <sharedItems count="3">
        <s v="Rio Grande do Sul"/>
        <s v="Paraná"/>
        <s v="Santa Catarina"/>
      </sharedItems>
    </cacheField>
    <cacheField name="Data Nascimento" numFmtId="14">
      <sharedItems containsSemiMixedTypes="0" containsNonDate="0" containsDate="1" containsString="0" minDate="1955-01-01T00:00:00" maxDate="1999-12-17T00:00:00"/>
    </cacheField>
    <cacheField name="Avaliação" numFmtId="14">
      <sharedItems count="8">
        <s v="Produto Excelente"/>
        <s v="Suporte Ruim"/>
        <s v="Embalagem Danificada"/>
        <s v="Atendimento Bom"/>
        <s v="Faltando Item"/>
        <s v="Atraso na Entrega"/>
        <s v="Produto com defeito"/>
        <s v="Boa qualidade"/>
      </sharedItems>
    </cacheField>
    <cacheField name="Assinatura" numFmtId="0">
      <sharedItems count="4">
        <s v="Safe Watch"/>
        <s v="Deluxe Box"/>
        <s v="Magic Box"/>
        <s v="Premium X"/>
      </sharedItems>
    </cacheField>
    <cacheField name="Mensalidades" numFmtId="165">
      <sharedItems containsSemiMixedTypes="0" containsString="0" containsNumber="1" minValue="9.9" maxValue="79.900000000000006"/>
    </cacheField>
    <cacheField name="Idade" numFmtId="0">
      <sharedItems containsSemiMixedTypes="0" containsString="0" containsNumber="1" containsInteger="1" minValue="24" maxValue="69"/>
    </cacheField>
    <cacheField name="Faixa-Etária" numFmtId="0">
      <sharedItems count="4">
        <s v="54-70"/>
        <s v="24-34"/>
        <s v="44 - 54"/>
        <s v="35 - 44"/>
      </sharedItems>
    </cacheField>
  </cacheFields>
  <extLst>
    <ext xmlns:x14="http://schemas.microsoft.com/office/spreadsheetml/2009/9/main" uri="{725AE2AE-9491-48be-B2B4-4EB974FC3084}">
      <x14:pivotCacheDefinition pivotCacheId="153313297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2">
  <r>
    <n v="22251128276"/>
    <s v="William Fernandes"/>
    <x v="0"/>
    <x v="0"/>
    <s v="Esportes"/>
    <x v="0"/>
    <d v="1957-10-25T00:00:00"/>
    <x v="0"/>
    <x v="0"/>
    <n v="29.9"/>
    <n v="66"/>
    <x v="0"/>
  </r>
  <r>
    <n v="22261045848"/>
    <s v="Emma Johnson"/>
    <x v="1"/>
    <x v="1"/>
    <s v="Agronegócio"/>
    <x v="0"/>
    <d v="1991-05-18T00:00:00"/>
    <x v="0"/>
    <x v="1"/>
    <n v="35.9"/>
    <n v="32"/>
    <x v="1"/>
  </r>
  <r>
    <n v="22319593464"/>
    <s v="Ava Davis"/>
    <x v="1"/>
    <x v="0"/>
    <s v="Economia"/>
    <x v="1"/>
    <d v="1962-06-05T00:00:00"/>
    <x v="0"/>
    <x v="1"/>
    <n v="35.9"/>
    <n v="61"/>
    <x v="0"/>
  </r>
  <r>
    <n v="22502656506"/>
    <s v="Robert Watson"/>
    <x v="0"/>
    <x v="0"/>
    <s v="Finanças"/>
    <x v="0"/>
    <d v="1993-03-07T00:00:00"/>
    <x v="0"/>
    <x v="0"/>
    <n v="29.9"/>
    <n v="31"/>
    <x v="1"/>
  </r>
  <r>
    <n v="22545488634"/>
    <s v="Sandra Martins"/>
    <x v="1"/>
    <x v="0"/>
    <s v="Esportes"/>
    <x v="0"/>
    <d v="1961-08-31T00:00:00"/>
    <x v="0"/>
    <x v="2"/>
    <n v="9.9"/>
    <n v="62"/>
    <x v="0"/>
  </r>
  <r>
    <n v="22730255729"/>
    <s v="Abigail Clark"/>
    <x v="0"/>
    <x v="0"/>
    <s v="Agronegócio"/>
    <x v="0"/>
    <d v="1956-06-27T00:00:00"/>
    <x v="0"/>
    <x v="2"/>
    <n v="9.9"/>
    <n v="67"/>
    <x v="0"/>
  </r>
  <r>
    <n v="22915442664"/>
    <s v="Maria Elena Herrera"/>
    <x v="1"/>
    <x v="1"/>
    <s v="Negócios"/>
    <x v="0"/>
    <d v="1971-09-14T00:00:00"/>
    <x v="0"/>
    <x v="2"/>
    <n v="9.9"/>
    <n v="52"/>
    <x v="2"/>
  </r>
  <r>
    <n v="23003948004"/>
    <s v="Jose Luis Cardenas"/>
    <x v="0"/>
    <x v="1"/>
    <s v="Agronegócio"/>
    <x v="0"/>
    <d v="1995-06-29T00:00:00"/>
    <x v="0"/>
    <x v="1"/>
    <n v="35.9"/>
    <n v="28"/>
    <x v="1"/>
  </r>
  <r>
    <n v="23076469898"/>
    <s v="Giovanna Oliveira"/>
    <x v="1"/>
    <x v="2"/>
    <s v="Finanças"/>
    <x v="0"/>
    <d v="1972-08-23T00:00:00"/>
    <x v="0"/>
    <x v="0"/>
    <n v="29.9"/>
    <n v="51"/>
    <x v="2"/>
  </r>
  <r>
    <n v="23247585094"/>
    <s v="Rafael Costa"/>
    <x v="0"/>
    <x v="1"/>
    <s v="Esportes"/>
    <x v="2"/>
    <d v="1987-02-01T00:00:00"/>
    <x v="1"/>
    <x v="2"/>
    <n v="9.9"/>
    <n v="37"/>
    <x v="3"/>
  </r>
  <r>
    <n v="23305930384"/>
    <s v="Diana Lopez"/>
    <x v="1"/>
    <x v="0"/>
    <s v="Negócios"/>
    <x v="1"/>
    <d v="1959-11-30T00:00:00"/>
    <x v="2"/>
    <x v="3"/>
    <n v="79.900000000000006"/>
    <n v="64"/>
    <x v="0"/>
  </r>
  <r>
    <n v="23327518189"/>
    <s v="Michael Hall"/>
    <x v="0"/>
    <x v="0"/>
    <s v="Economia"/>
    <x v="1"/>
    <d v="1958-06-30T00:00:00"/>
    <x v="3"/>
    <x v="0"/>
    <n v="29.9"/>
    <n v="65"/>
    <x v="0"/>
  </r>
  <r>
    <n v="23347171291"/>
    <s v="Luis Reyes"/>
    <x v="0"/>
    <x v="2"/>
    <s v="Finanças"/>
    <x v="0"/>
    <d v="1978-06-04T00:00:00"/>
    <x v="3"/>
    <x v="2"/>
    <n v="9.9"/>
    <n v="45"/>
    <x v="2"/>
  </r>
  <r>
    <n v="23396488132"/>
    <s v="Rafael Ferreira Lima"/>
    <x v="0"/>
    <x v="0"/>
    <s v="Economia"/>
    <x v="0"/>
    <d v="1994-02-25T00:00:00"/>
    <x v="3"/>
    <x v="1"/>
    <n v="35.9"/>
    <n v="30"/>
    <x v="1"/>
  </r>
  <r>
    <n v="23474418720"/>
    <s v="Daniel Pereira"/>
    <x v="0"/>
    <x v="1"/>
    <s v="Esportes"/>
    <x v="0"/>
    <d v="1964-06-12T00:00:00"/>
    <x v="3"/>
    <x v="0"/>
    <n v="29.9"/>
    <n v="59"/>
    <x v="0"/>
  </r>
  <r>
    <n v="23495363597"/>
    <s v="Eliza Hayes"/>
    <x v="1"/>
    <x v="0"/>
    <s v="Esportes"/>
    <x v="0"/>
    <d v="1972-11-07T00:00:00"/>
    <x v="3"/>
    <x v="2"/>
    <n v="9.9"/>
    <n v="51"/>
    <x v="2"/>
  </r>
  <r>
    <n v="23710915067"/>
    <s v="Ruby Perry"/>
    <x v="0"/>
    <x v="3"/>
    <s v="Esportes"/>
    <x v="0"/>
    <d v="1963-11-26T00:00:00"/>
    <x v="3"/>
    <x v="0"/>
    <n v="29.9"/>
    <n v="60"/>
    <x v="0"/>
  </r>
  <r>
    <n v="23744776016"/>
    <s v="Renata Fernandes"/>
    <x v="1"/>
    <x v="1"/>
    <s v="Agronegócio"/>
    <x v="2"/>
    <d v="1980-11-30T00:00:00"/>
    <x v="4"/>
    <x v="2"/>
    <n v="9.9"/>
    <n v="43"/>
    <x v="3"/>
  </r>
  <r>
    <n v="23811464512"/>
    <s v="Sofia Velez"/>
    <x v="1"/>
    <x v="4"/>
    <s v="Finanças"/>
    <x v="0"/>
    <d v="1979-08-30T00:00:00"/>
    <x v="0"/>
    <x v="0"/>
    <n v="29.9"/>
    <n v="44"/>
    <x v="2"/>
  </r>
  <r>
    <n v="23812290184"/>
    <s v="Caleb Reed"/>
    <x v="0"/>
    <x v="3"/>
    <s v="Negócios"/>
    <x v="0"/>
    <d v="1992-07-03T00:00:00"/>
    <x v="0"/>
    <x v="0"/>
    <n v="29.9"/>
    <n v="31"/>
    <x v="1"/>
  </r>
  <r>
    <n v="23826850226"/>
    <s v="Juliana de Souza Oliveira"/>
    <x v="1"/>
    <x v="1"/>
    <s v="Negócios"/>
    <x v="1"/>
    <d v="1970-01-24T00:00:00"/>
    <x v="0"/>
    <x v="2"/>
    <n v="9.9"/>
    <n v="54"/>
    <x v="0"/>
  </r>
  <r>
    <n v="23832649809"/>
    <s v="Rita Santos"/>
    <x v="1"/>
    <x v="0"/>
    <s v="Política"/>
    <x v="1"/>
    <d v="1960-02-23T00:00:00"/>
    <x v="0"/>
    <x v="3"/>
    <n v="79.900000000000006"/>
    <n v="64"/>
    <x v="0"/>
  </r>
  <r>
    <n v="23901903684"/>
    <s v="Emerson Oliveira"/>
    <x v="0"/>
    <x v="2"/>
    <s v="Negócios"/>
    <x v="0"/>
    <d v="1985-03-27T00:00:00"/>
    <x v="0"/>
    <x v="1"/>
    <n v="35.9"/>
    <n v="39"/>
    <x v="3"/>
  </r>
  <r>
    <n v="23955738155"/>
    <s v="Eliana Ramirez"/>
    <x v="1"/>
    <x v="3"/>
    <s v="Negócios"/>
    <x v="1"/>
    <d v="1971-04-22T00:00:00"/>
    <x v="5"/>
    <x v="0"/>
    <n v="29.9"/>
    <n v="53"/>
    <x v="2"/>
  </r>
  <r>
    <n v="23985916849"/>
    <s v="Camila Torres"/>
    <x v="1"/>
    <x v="1"/>
    <s v="Economia"/>
    <x v="0"/>
    <d v="1990-11-04T00:00:00"/>
    <x v="1"/>
    <x v="1"/>
    <n v="35.9"/>
    <n v="33"/>
    <x v="1"/>
  </r>
  <r>
    <n v="24132591017"/>
    <s v="Rita Silva"/>
    <x v="1"/>
    <x v="3"/>
    <s v="Agronegócio"/>
    <x v="0"/>
    <d v="1978-01-14T00:00:00"/>
    <x v="6"/>
    <x v="3"/>
    <n v="79.900000000000006"/>
    <n v="46"/>
    <x v="2"/>
  </r>
  <r>
    <n v="24163969033"/>
    <s v="James Lee"/>
    <x v="0"/>
    <x v="1"/>
    <s v="Negócios"/>
    <x v="1"/>
    <d v="1993-11-21T00:00:00"/>
    <x v="2"/>
    <x v="2"/>
    <n v="9.9"/>
    <n v="30"/>
    <x v="1"/>
  </r>
  <r>
    <n v="24287997573"/>
    <s v="Amanda Costa"/>
    <x v="1"/>
    <x v="1"/>
    <s v="Negócios"/>
    <x v="0"/>
    <d v="1980-03-18T00:00:00"/>
    <x v="7"/>
    <x v="2"/>
    <n v="9.9"/>
    <n v="44"/>
    <x v="2"/>
  </r>
  <r>
    <n v="24399783131"/>
    <s v="Olivia Brown"/>
    <x v="1"/>
    <x v="3"/>
    <s v="Esportes"/>
    <x v="1"/>
    <d v="1958-09-05T00:00:00"/>
    <x v="5"/>
    <x v="2"/>
    <n v="9.9"/>
    <n v="65"/>
    <x v="0"/>
  </r>
  <r>
    <n v="24476290628"/>
    <s v="Ricardo Barbosa"/>
    <x v="0"/>
    <x v="1"/>
    <s v="Esportes"/>
    <x v="2"/>
    <d v="1974-10-15T00:00:00"/>
    <x v="4"/>
    <x v="2"/>
    <n v="9.9"/>
    <n v="49"/>
    <x v="2"/>
  </r>
  <r>
    <n v="24501506609"/>
    <s v="Laura Ribeiro"/>
    <x v="1"/>
    <x v="1"/>
    <s v="Política"/>
    <x v="1"/>
    <d v="1968-03-06T00:00:00"/>
    <x v="3"/>
    <x v="3"/>
    <n v="79.900000000000006"/>
    <n v="56"/>
    <x v="0"/>
  </r>
  <r>
    <n v="24571944346"/>
    <s v="Emily Wright"/>
    <x v="1"/>
    <x v="1"/>
    <s v="Esportes"/>
    <x v="2"/>
    <d v="1959-04-13T00:00:00"/>
    <x v="5"/>
    <x v="2"/>
    <n v="9.9"/>
    <n v="65"/>
    <x v="0"/>
  </r>
  <r>
    <n v="24787984175"/>
    <s v="Henry Adams"/>
    <x v="0"/>
    <x v="4"/>
    <s v="Finanças"/>
    <x v="0"/>
    <d v="1995-06-17T00:00:00"/>
    <x v="4"/>
    <x v="0"/>
    <n v="29.9"/>
    <n v="28"/>
    <x v="1"/>
  </r>
  <r>
    <n v="25119128692"/>
    <s v="Chloe Coleman"/>
    <x v="1"/>
    <x v="1"/>
    <s v="Agronegócio"/>
    <x v="0"/>
    <d v="1983-03-09T00:00:00"/>
    <x v="3"/>
    <x v="1"/>
    <n v="35.9"/>
    <n v="41"/>
    <x v="3"/>
  </r>
  <r>
    <n v="25186825602"/>
    <s v="Lucy Brooks"/>
    <x v="0"/>
    <x v="1"/>
    <s v="Economia"/>
    <x v="0"/>
    <d v="1963-04-23T00:00:00"/>
    <x v="0"/>
    <x v="0"/>
    <n v="29.9"/>
    <n v="61"/>
    <x v="0"/>
  </r>
  <r>
    <n v="25259510243"/>
    <s v="Isabela Martins Pereira"/>
    <x v="1"/>
    <x v="1"/>
    <s v="Finanças"/>
    <x v="1"/>
    <d v="1973-03-18T00:00:00"/>
    <x v="0"/>
    <x v="2"/>
    <n v="9.9"/>
    <n v="51"/>
    <x v="2"/>
  </r>
  <r>
    <n v="25299040876"/>
    <s v="Vilma Pereira"/>
    <x v="1"/>
    <x v="0"/>
    <s v="Finanças"/>
    <x v="0"/>
    <d v="1960-03-27T00:00:00"/>
    <x v="0"/>
    <x v="2"/>
    <n v="9.9"/>
    <n v="64"/>
    <x v="0"/>
  </r>
  <r>
    <n v="25585315115"/>
    <s v="Autumn Brooks"/>
    <x v="0"/>
    <x v="3"/>
    <s v="Economia"/>
    <x v="1"/>
    <d v="1977-08-18T00:00:00"/>
    <x v="0"/>
    <x v="2"/>
    <n v="9.9"/>
    <n v="46"/>
    <x v="2"/>
  </r>
  <r>
    <n v="25620590447"/>
    <s v="Isabela Carvalho"/>
    <x v="1"/>
    <x v="1"/>
    <s v="Política"/>
    <x v="1"/>
    <d v="1989-12-02T00:00:00"/>
    <x v="0"/>
    <x v="3"/>
    <n v="79.900000000000006"/>
    <n v="34"/>
    <x v="1"/>
  </r>
  <r>
    <n v="25690893853"/>
    <s v="Lily Cooper"/>
    <x v="1"/>
    <x v="0"/>
    <s v="Esportes"/>
    <x v="0"/>
    <d v="1962-04-22T00:00:00"/>
    <x v="0"/>
    <x v="2"/>
    <n v="9.9"/>
    <n v="62"/>
    <x v="0"/>
  </r>
  <r>
    <n v="25770108240"/>
    <s v="Bruno Santos"/>
    <x v="0"/>
    <x v="0"/>
    <s v="Economia"/>
    <x v="0"/>
    <d v="1984-09-12T00:00:00"/>
    <x v="0"/>
    <x v="2"/>
    <n v="9.9"/>
    <n v="39"/>
    <x v="3"/>
  </r>
  <r>
    <n v="26133183584"/>
    <s v="Ethan White"/>
    <x v="0"/>
    <x v="2"/>
    <s v="Negócios"/>
    <x v="0"/>
    <d v="1989-08-21T00:00:00"/>
    <x v="0"/>
    <x v="2"/>
    <n v="9.9"/>
    <n v="34"/>
    <x v="1"/>
  </r>
  <r>
    <n v="26552662070"/>
    <s v="Mariana Rodrigues"/>
    <x v="1"/>
    <x v="0"/>
    <s v="Política"/>
    <x v="0"/>
    <d v="1958-01-07T00:00:00"/>
    <x v="0"/>
    <x v="3"/>
    <n v="79.900000000000006"/>
    <n v="66"/>
    <x v="0"/>
  </r>
  <r>
    <n v="26642966334"/>
    <s v="Lucas Oliveira"/>
    <x v="0"/>
    <x v="0"/>
    <s v="Esportes"/>
    <x v="0"/>
    <d v="1974-04-17T00:00:00"/>
    <x v="1"/>
    <x v="2"/>
    <n v="9.9"/>
    <n v="50"/>
    <x v="2"/>
  </r>
  <r>
    <n v="26713299497"/>
    <s v="Aaron Perry"/>
    <x v="0"/>
    <x v="2"/>
    <s v="Negócios"/>
    <x v="0"/>
    <d v="1963-08-08T00:00:00"/>
    <x v="2"/>
    <x v="1"/>
    <n v="35.9"/>
    <n v="60"/>
    <x v="0"/>
  </r>
  <r>
    <n v="26748985558"/>
    <s v="José da Silva"/>
    <x v="0"/>
    <x v="2"/>
    <s v="Agronegócio"/>
    <x v="2"/>
    <d v="1961-02-10T00:00:00"/>
    <x v="3"/>
    <x v="2"/>
    <n v="9.9"/>
    <n v="63"/>
    <x v="0"/>
  </r>
  <r>
    <n v="26768816675"/>
    <s v="Mariana Oliveira"/>
    <x v="1"/>
    <x v="1"/>
    <s v="Negócios"/>
    <x v="1"/>
    <d v="1989-07-23T00:00:00"/>
    <x v="3"/>
    <x v="2"/>
    <n v="9.9"/>
    <n v="34"/>
    <x v="1"/>
  </r>
  <r>
    <n v="26864897176"/>
    <s v="Antonio Pacheco"/>
    <x v="0"/>
    <x v="3"/>
    <s v="Finanças"/>
    <x v="0"/>
    <d v="1965-03-30T00:00:00"/>
    <x v="3"/>
    <x v="0"/>
    <n v="29.9"/>
    <n v="59"/>
    <x v="0"/>
  </r>
  <r>
    <n v="26887944990"/>
    <s v="Rosa Molina"/>
    <x v="0"/>
    <x v="0"/>
    <s v="Agronegócio"/>
    <x v="0"/>
    <d v="1970-11-25T00:00:00"/>
    <x v="3"/>
    <x v="1"/>
    <n v="35.9"/>
    <n v="53"/>
    <x v="2"/>
  </r>
  <r>
    <n v="27177199946"/>
    <s v="Leah Sanders"/>
    <x v="1"/>
    <x v="1"/>
    <s v="Economia"/>
    <x v="0"/>
    <d v="1995-05-12T00:00:00"/>
    <x v="3"/>
    <x v="1"/>
    <n v="35.9"/>
    <n v="29"/>
    <x v="1"/>
  </r>
  <r>
    <n v="27285805125"/>
    <s v="Landon Gray"/>
    <x v="1"/>
    <x v="1"/>
    <s v="Negócios"/>
    <x v="1"/>
    <d v="1987-03-12T00:00:00"/>
    <x v="3"/>
    <x v="0"/>
    <n v="29.9"/>
    <n v="37"/>
    <x v="3"/>
  </r>
  <r>
    <n v="27448464474"/>
    <s v="Rita Gomes"/>
    <x v="1"/>
    <x v="0"/>
    <s v="Negócios"/>
    <x v="1"/>
    <d v="1972-06-28T00:00:00"/>
    <x v="4"/>
    <x v="2"/>
    <n v="9.9"/>
    <n v="51"/>
    <x v="2"/>
  </r>
  <r>
    <n v="27575618320"/>
    <s v="Nora Collins"/>
    <x v="1"/>
    <x v="1"/>
    <s v="Esportes"/>
    <x v="0"/>
    <d v="1994-10-27T00:00:00"/>
    <x v="0"/>
    <x v="2"/>
    <n v="9.9"/>
    <n v="29"/>
    <x v="1"/>
  </r>
  <r>
    <n v="27679793781"/>
    <s v="Clara Almeida"/>
    <x v="1"/>
    <x v="3"/>
    <s v="Finanças"/>
    <x v="2"/>
    <d v="1961-02-10T00:00:00"/>
    <x v="0"/>
    <x v="0"/>
    <n v="29.9"/>
    <n v="63"/>
    <x v="0"/>
  </r>
  <r>
    <n v="27696929974"/>
    <s v="Marcelo Fernandes"/>
    <x v="0"/>
    <x v="3"/>
    <s v="Negócios"/>
    <x v="0"/>
    <d v="1963-07-13T00:00:00"/>
    <x v="0"/>
    <x v="2"/>
    <n v="9.9"/>
    <n v="60"/>
    <x v="0"/>
  </r>
  <r>
    <n v="27712009563"/>
    <s v="Henrique Freitas"/>
    <x v="0"/>
    <x v="1"/>
    <s v="Negócios"/>
    <x v="2"/>
    <d v="1966-08-10T00:00:00"/>
    <x v="0"/>
    <x v="0"/>
    <n v="29.9"/>
    <n v="57"/>
    <x v="0"/>
  </r>
  <r>
    <n v="27720063292"/>
    <s v="Laura Pineda"/>
    <x v="1"/>
    <x v="1"/>
    <s v="Negócios"/>
    <x v="0"/>
    <d v="1989-12-22T00:00:00"/>
    <x v="0"/>
    <x v="0"/>
    <n v="29.9"/>
    <n v="34"/>
    <x v="1"/>
  </r>
  <r>
    <n v="27733422032"/>
    <s v="Sandra Gomes"/>
    <x v="1"/>
    <x v="1"/>
    <s v="Finanças"/>
    <x v="1"/>
    <d v="1988-07-19T00:00:00"/>
    <x v="5"/>
    <x v="0"/>
    <n v="29.9"/>
    <n v="35"/>
    <x v="3"/>
  </r>
  <r>
    <n v="27882905440"/>
    <s v="William Allen"/>
    <x v="0"/>
    <x v="1"/>
    <s v="Negócios"/>
    <x v="1"/>
    <d v="1984-03-29T00:00:00"/>
    <x v="1"/>
    <x v="1"/>
    <n v="35.9"/>
    <n v="40"/>
    <x v="3"/>
  </r>
  <r>
    <n v="27972353916"/>
    <s v="José Rodrigues"/>
    <x v="0"/>
    <x v="0"/>
    <s v="Economia"/>
    <x v="0"/>
    <d v="1972-05-01T00:00:00"/>
    <x v="6"/>
    <x v="0"/>
    <n v="29.9"/>
    <n v="52"/>
    <x v="2"/>
  </r>
  <r>
    <n v="28013158370"/>
    <s v="Carolina Valenzuela"/>
    <x v="1"/>
    <x v="1"/>
    <s v="Negócios"/>
    <x v="1"/>
    <d v="1957-09-13T00:00:00"/>
    <x v="2"/>
    <x v="3"/>
    <n v="79.900000000000006"/>
    <n v="66"/>
    <x v="0"/>
  </r>
  <r>
    <n v="28054126958"/>
    <s v="Pedro Torres"/>
    <x v="0"/>
    <x v="1"/>
    <s v="Economia"/>
    <x v="2"/>
    <d v="1981-09-01T00:00:00"/>
    <x v="7"/>
    <x v="1"/>
    <n v="35.9"/>
    <n v="42"/>
    <x v="3"/>
  </r>
  <r>
    <n v="28153849933"/>
    <s v="Daniel Baker"/>
    <x v="0"/>
    <x v="3"/>
    <s v="Negócios"/>
    <x v="2"/>
    <d v="1974-10-13T00:00:00"/>
    <x v="5"/>
    <x v="3"/>
    <n v="79.900000000000006"/>
    <n v="49"/>
    <x v="2"/>
  </r>
  <r>
    <n v="28166551614"/>
    <s v="Renata Rodrigues"/>
    <x v="1"/>
    <x v="3"/>
    <s v="Política"/>
    <x v="2"/>
    <d v="1983-12-06T00:00:00"/>
    <x v="4"/>
    <x v="3"/>
    <n v="79.900000000000006"/>
    <n v="40"/>
    <x v="3"/>
  </r>
  <r>
    <n v="28200818797"/>
    <s v="Amelia Garcia"/>
    <x v="1"/>
    <x v="0"/>
    <s v="Esportes"/>
    <x v="2"/>
    <d v="1979-03-08T00:00:00"/>
    <x v="3"/>
    <x v="0"/>
    <n v="29.9"/>
    <n v="45"/>
    <x v="2"/>
  </r>
  <r>
    <n v="28435465592"/>
    <s v="Maria das Graças Silva"/>
    <x v="1"/>
    <x v="0"/>
    <s v="Finanças"/>
    <x v="0"/>
    <d v="1993-06-12T00:00:00"/>
    <x v="5"/>
    <x v="0"/>
    <n v="29.9"/>
    <n v="30"/>
    <x v="1"/>
  </r>
  <r>
    <n v="28452088771"/>
    <s v="Zoey Ramirez"/>
    <x v="0"/>
    <x v="0"/>
    <s v="Economia"/>
    <x v="0"/>
    <d v="1983-07-04T00:00:00"/>
    <x v="4"/>
    <x v="2"/>
    <n v="9.9"/>
    <n v="40"/>
    <x v="3"/>
  </r>
  <r>
    <n v="28472708104"/>
    <s v="Grace Hill"/>
    <x v="1"/>
    <x v="1"/>
    <s v="Economia"/>
    <x v="0"/>
    <d v="1980-01-21T00:00:00"/>
    <x v="3"/>
    <x v="1"/>
    <n v="35.9"/>
    <n v="44"/>
    <x v="2"/>
  </r>
  <r>
    <n v="28577291217"/>
    <s v="Benjamin Moore"/>
    <x v="0"/>
    <x v="0"/>
    <s v="Negócios"/>
    <x v="0"/>
    <d v="1983-04-17T00:00:00"/>
    <x v="0"/>
    <x v="0"/>
    <n v="29.9"/>
    <n v="41"/>
    <x v="3"/>
  </r>
  <r>
    <n v="28722728237"/>
    <s v="Estefania Velasco"/>
    <x v="1"/>
    <x v="3"/>
    <s v="Política"/>
    <x v="2"/>
    <d v="1989-03-21T00:00:00"/>
    <x v="0"/>
    <x v="3"/>
    <n v="79.900000000000006"/>
    <n v="35"/>
    <x v="3"/>
  </r>
  <r>
    <n v="28746452670"/>
    <s v="Rafael Almeida"/>
    <x v="0"/>
    <x v="3"/>
    <s v="Negócios"/>
    <x v="2"/>
    <d v="1993-08-13T00:00:00"/>
    <x v="0"/>
    <x v="3"/>
    <n v="79.900000000000006"/>
    <n v="30"/>
    <x v="1"/>
  </r>
  <r>
    <n v="28755892068"/>
    <s v="Isabella Taylor"/>
    <x v="1"/>
    <x v="1"/>
    <s v="Economia"/>
    <x v="0"/>
    <d v="1958-02-07T00:00:00"/>
    <x v="0"/>
    <x v="2"/>
    <n v="9.9"/>
    <n v="66"/>
    <x v="0"/>
  </r>
  <r>
    <n v="28940705644"/>
    <s v="André Lima"/>
    <x v="0"/>
    <x v="0"/>
    <s v="Economia"/>
    <x v="0"/>
    <d v="1969-11-20T00:00:00"/>
    <x v="0"/>
    <x v="1"/>
    <n v="35.9"/>
    <n v="54"/>
    <x v="0"/>
  </r>
  <r>
    <n v="29031986542"/>
    <s v="Mariana Fernandes"/>
    <x v="1"/>
    <x v="0"/>
    <s v="Agronegócio"/>
    <x v="0"/>
    <d v="1957-07-25T00:00:00"/>
    <x v="0"/>
    <x v="2"/>
    <n v="9.9"/>
    <n v="66"/>
    <x v="0"/>
  </r>
  <r>
    <n v="29058531849"/>
    <s v="Harper Reed"/>
    <x v="0"/>
    <x v="3"/>
    <s v="Economia"/>
    <x v="1"/>
    <d v="1964-08-10T00:00:00"/>
    <x v="0"/>
    <x v="1"/>
    <n v="35.9"/>
    <n v="59"/>
    <x v="0"/>
  </r>
  <r>
    <n v="29062765488"/>
    <s v="Sandra Fernandes"/>
    <x v="1"/>
    <x v="1"/>
    <s v="Agronegócio"/>
    <x v="2"/>
    <d v="1957-07-27T00:00:00"/>
    <x v="0"/>
    <x v="1"/>
    <n v="35.9"/>
    <n v="66"/>
    <x v="0"/>
  </r>
  <r>
    <n v="29127263778"/>
    <s v="José Costa"/>
    <x v="0"/>
    <x v="1"/>
    <s v="Agronegócio"/>
    <x v="0"/>
    <d v="1980-01-24T00:00:00"/>
    <x v="0"/>
    <x v="1"/>
    <n v="35.9"/>
    <n v="44"/>
    <x v="2"/>
  </r>
  <r>
    <n v="29151032854"/>
    <s v="Bruno Silva"/>
    <x v="0"/>
    <x v="1"/>
    <s v="Negócios"/>
    <x v="0"/>
    <d v="1963-09-25T00:00:00"/>
    <x v="1"/>
    <x v="2"/>
    <n v="9.9"/>
    <n v="60"/>
    <x v="0"/>
  </r>
  <r>
    <n v="29200736829"/>
    <s v="Pedro Rodrigues Martins"/>
    <x v="0"/>
    <x v="3"/>
    <s v="Esportes"/>
    <x v="0"/>
    <d v="1967-06-05T00:00:00"/>
    <x v="2"/>
    <x v="0"/>
    <n v="29.9"/>
    <n v="56"/>
    <x v="0"/>
  </r>
  <r>
    <n v="29210849513"/>
    <s v="Eduardo Medina"/>
    <x v="0"/>
    <x v="3"/>
    <s v="Economia"/>
    <x v="1"/>
    <d v="1962-02-27T00:00:00"/>
    <x v="3"/>
    <x v="1"/>
    <n v="35.9"/>
    <n v="62"/>
    <x v="0"/>
  </r>
  <r>
    <n v="29324777441"/>
    <s v="Bernardo Rodrigues"/>
    <x v="0"/>
    <x v="1"/>
    <s v="Economia"/>
    <x v="2"/>
    <d v="1968-06-23T00:00:00"/>
    <x v="3"/>
    <x v="2"/>
    <n v="9.9"/>
    <n v="55"/>
    <x v="0"/>
  </r>
  <r>
    <n v="29416954094"/>
    <s v="Adrian Brooks"/>
    <x v="0"/>
    <x v="0"/>
    <s v="Negócios"/>
    <x v="0"/>
    <d v="1981-10-12T00:00:00"/>
    <x v="3"/>
    <x v="3"/>
    <n v="79.900000000000006"/>
    <n v="42"/>
    <x v="3"/>
  </r>
  <r>
    <n v="29550625936"/>
    <s v="Samantha Price"/>
    <x v="1"/>
    <x v="0"/>
    <s v="Negócios"/>
    <x v="0"/>
    <d v="1979-10-27T00:00:00"/>
    <x v="3"/>
    <x v="0"/>
    <n v="29.9"/>
    <n v="44"/>
    <x v="2"/>
  </r>
  <r>
    <n v="29608724794"/>
    <s v="Pedro Rodrigues"/>
    <x v="0"/>
    <x v="0"/>
    <s v="Economia"/>
    <x v="0"/>
    <d v="1982-03-22T00:00:00"/>
    <x v="3"/>
    <x v="2"/>
    <n v="9.9"/>
    <n v="42"/>
    <x v="3"/>
  </r>
  <r>
    <n v="29617727732"/>
    <s v="Amanda Souza"/>
    <x v="1"/>
    <x v="1"/>
    <s v="Economia"/>
    <x v="1"/>
    <d v="1987-09-11T00:00:00"/>
    <x v="3"/>
    <x v="0"/>
    <n v="29.9"/>
    <n v="36"/>
    <x v="3"/>
  </r>
  <r>
    <n v="29665927499"/>
    <s v="Ana Pereira"/>
    <x v="1"/>
    <x v="3"/>
    <s v="Finanças"/>
    <x v="0"/>
    <d v="1970-10-31T00:00:00"/>
    <x v="4"/>
    <x v="0"/>
    <n v="29.9"/>
    <n v="53"/>
    <x v="2"/>
  </r>
  <r>
    <n v="29773455762"/>
    <s v="Christopher Ross"/>
    <x v="0"/>
    <x v="1"/>
    <s v="Finanças"/>
    <x v="1"/>
    <d v="1982-05-12T00:00:00"/>
    <x v="0"/>
    <x v="0"/>
    <n v="29.9"/>
    <n v="42"/>
    <x v="3"/>
  </r>
  <r>
    <n v="29806175798"/>
    <s v="Fabiana Oliveira"/>
    <x v="1"/>
    <x v="0"/>
    <s v="Negócios"/>
    <x v="0"/>
    <d v="1974-03-08T00:00:00"/>
    <x v="0"/>
    <x v="3"/>
    <n v="79.900000000000006"/>
    <n v="50"/>
    <x v="2"/>
  </r>
  <r>
    <n v="29958942950"/>
    <s v="Naomi Carter"/>
    <x v="1"/>
    <x v="1"/>
    <s v="Economia"/>
    <x v="0"/>
    <d v="1986-01-24T00:00:00"/>
    <x v="0"/>
    <x v="2"/>
    <n v="9.9"/>
    <n v="38"/>
    <x v="3"/>
  </r>
  <r>
    <n v="29997693161"/>
    <s v="José Pereira"/>
    <x v="0"/>
    <x v="1"/>
    <s v="Economia"/>
    <x v="2"/>
    <d v="1978-10-15T00:00:00"/>
    <x v="0"/>
    <x v="2"/>
    <n v="9.9"/>
    <n v="45"/>
    <x v="2"/>
  </r>
  <r>
    <n v="30056943664"/>
    <s v="Francisco Chavez"/>
    <x v="0"/>
    <x v="1"/>
    <s v="Economia"/>
    <x v="0"/>
    <d v="1958-04-06T00:00:00"/>
    <x v="0"/>
    <x v="1"/>
    <n v="35.9"/>
    <n v="66"/>
    <x v="0"/>
  </r>
  <r>
    <n v="30135605541"/>
    <s v="Mason Anderson"/>
    <x v="1"/>
    <x v="0"/>
    <s v="Finanças"/>
    <x v="0"/>
    <d v="1960-01-13T00:00:00"/>
    <x v="5"/>
    <x v="0"/>
    <n v="29.9"/>
    <n v="64"/>
    <x v="0"/>
  </r>
  <r>
    <n v="30221046505"/>
    <s v="Sandra Rodrigues"/>
    <x v="1"/>
    <x v="3"/>
    <s v="Negócios"/>
    <x v="0"/>
    <d v="1984-07-01T00:00:00"/>
    <x v="1"/>
    <x v="1"/>
    <n v="35.9"/>
    <n v="39"/>
    <x v="3"/>
  </r>
  <r>
    <n v="30253040173"/>
    <s v="Sofia Martinez"/>
    <x v="1"/>
    <x v="1"/>
    <s v="Economia"/>
    <x v="0"/>
    <d v="1972-04-17T00:00:00"/>
    <x v="6"/>
    <x v="1"/>
    <n v="35.9"/>
    <n v="52"/>
    <x v="2"/>
  </r>
  <r>
    <n v="30314403216"/>
    <s v="Marcelo Santos"/>
    <x v="0"/>
    <x v="1"/>
    <s v="Esportes"/>
    <x v="0"/>
    <d v="1992-01-21T00:00:00"/>
    <x v="2"/>
    <x v="2"/>
    <n v="9.9"/>
    <n v="32"/>
    <x v="1"/>
  </r>
  <r>
    <n v="30353673725"/>
    <s v="Thomas Barnes"/>
    <x v="0"/>
    <x v="0"/>
    <s v="Política"/>
    <x v="1"/>
    <d v="1995-09-21T00:00:00"/>
    <x v="7"/>
    <x v="3"/>
    <n v="79.900000000000006"/>
    <n v="28"/>
    <x v="1"/>
  </r>
  <r>
    <n v="30383272945"/>
    <s v="Dylan Bell"/>
    <x v="0"/>
    <x v="2"/>
    <s v="Finanças"/>
    <x v="0"/>
    <d v="1994-06-29T00:00:00"/>
    <x v="5"/>
    <x v="0"/>
    <n v="29.9"/>
    <n v="29"/>
    <x v="1"/>
  </r>
  <r>
    <n v="30421203942"/>
    <s v="Bruno Fernandes"/>
    <x v="0"/>
    <x v="1"/>
    <s v="Agronegócio"/>
    <x v="0"/>
    <d v="1979-05-02T00:00:00"/>
    <x v="4"/>
    <x v="1"/>
    <n v="35.9"/>
    <n v="45"/>
    <x v="2"/>
  </r>
  <r>
    <n v="30468143545"/>
    <s v="William Gomes"/>
    <x v="0"/>
    <x v="0"/>
    <s v="Política"/>
    <x v="1"/>
    <d v="1985-06-13T00:00:00"/>
    <x v="3"/>
    <x v="3"/>
    <n v="79.900000000000006"/>
    <n v="38"/>
    <x v="3"/>
  </r>
  <r>
    <n v="30493961253"/>
    <s v="Marcelo Rodrigues"/>
    <x v="0"/>
    <x v="2"/>
    <s v="Agronegócio"/>
    <x v="2"/>
    <d v="1975-04-17T00:00:00"/>
    <x v="5"/>
    <x v="2"/>
    <n v="9.9"/>
    <n v="49"/>
    <x v="2"/>
  </r>
  <r>
    <n v="30557538193"/>
    <s v="Ricardo Lara"/>
    <x v="0"/>
    <x v="1"/>
    <s v="Economia"/>
    <x v="0"/>
    <d v="1969-11-22T00:00:00"/>
    <x v="4"/>
    <x v="1"/>
    <n v="35.9"/>
    <n v="54"/>
    <x v="0"/>
  </r>
  <r>
    <n v="30571772130"/>
    <s v="Bernardo Silva"/>
    <x v="0"/>
    <x v="0"/>
    <s v="Agronegócio"/>
    <x v="2"/>
    <d v="1995-07-11T00:00:00"/>
    <x v="3"/>
    <x v="3"/>
    <n v="79.900000000000006"/>
    <n v="28"/>
    <x v="1"/>
  </r>
  <r>
    <n v="30735636076"/>
    <s v="Rafael Gomes"/>
    <x v="0"/>
    <x v="2"/>
    <s v="Negócios"/>
    <x v="0"/>
    <d v="1985-11-10T00:00:00"/>
    <x v="0"/>
    <x v="0"/>
    <n v="29.9"/>
    <n v="38"/>
    <x v="3"/>
  </r>
  <r>
    <n v="30763734385"/>
    <s v="José Martins"/>
    <x v="0"/>
    <x v="0"/>
    <s v="Negócios"/>
    <x v="1"/>
    <d v="1981-10-23T00:00:00"/>
    <x v="0"/>
    <x v="3"/>
    <n v="79.900000000000006"/>
    <n v="42"/>
    <x v="3"/>
  </r>
  <r>
    <n v="30850039240"/>
    <s v="Adriana Rojas"/>
    <x v="1"/>
    <x v="3"/>
    <s v="Negócios"/>
    <x v="0"/>
    <d v="1992-11-21T00:00:00"/>
    <x v="0"/>
    <x v="2"/>
    <n v="9.9"/>
    <n v="31"/>
    <x v="1"/>
  </r>
  <r>
    <n v="30890249713"/>
    <s v="Addison Ward"/>
    <x v="0"/>
    <x v="1"/>
    <s v="Economia"/>
    <x v="2"/>
    <d v="1986-09-09T00:00:00"/>
    <x v="0"/>
    <x v="1"/>
    <n v="35.9"/>
    <n v="37"/>
    <x v="3"/>
  </r>
  <r>
    <n v="30904162810"/>
    <s v="Ryan Foster"/>
    <x v="0"/>
    <x v="0"/>
    <s v="Negócios"/>
    <x v="0"/>
    <d v="1970-10-01T00:00:00"/>
    <x v="0"/>
    <x v="1"/>
    <n v="35.9"/>
    <n v="53"/>
    <x v="2"/>
  </r>
  <r>
    <n v="31161056912"/>
    <s v="Emerson Fernandes"/>
    <x v="0"/>
    <x v="1"/>
    <s v="Economia"/>
    <x v="2"/>
    <d v="1972-12-23T00:00:00"/>
    <x v="0"/>
    <x v="1"/>
    <n v="35.9"/>
    <n v="51"/>
    <x v="2"/>
  </r>
  <r>
    <n v="31194503371"/>
    <s v="Felipe Pereira"/>
    <x v="0"/>
    <x v="0"/>
    <s v="Esportes"/>
    <x v="0"/>
    <d v="1981-05-03T00:00:00"/>
    <x v="0"/>
    <x v="2"/>
    <n v="9.9"/>
    <n v="43"/>
    <x v="3"/>
  </r>
  <r>
    <n v="31239662843"/>
    <s v="Mariana Silva"/>
    <x v="1"/>
    <x v="1"/>
    <s v="Negócios"/>
    <x v="1"/>
    <d v="1957-11-01T00:00:00"/>
    <x v="0"/>
    <x v="2"/>
    <n v="9.9"/>
    <n v="66"/>
    <x v="0"/>
  </r>
  <r>
    <n v="31323760929"/>
    <s v="Evelyn Walker"/>
    <x v="1"/>
    <x v="1"/>
    <s v="Economia"/>
    <x v="0"/>
    <d v="1955-08-17T00:00:00"/>
    <x v="0"/>
    <x v="2"/>
    <n v="9.9"/>
    <n v="68"/>
    <x v="0"/>
  </r>
  <r>
    <n v="31519057095"/>
    <s v="Guadalupe Munoz"/>
    <x v="1"/>
    <x v="4"/>
    <s v="Negócios"/>
    <x v="0"/>
    <d v="1970-06-09T00:00:00"/>
    <x v="1"/>
    <x v="2"/>
    <n v="9.9"/>
    <n v="53"/>
    <x v="2"/>
  </r>
  <r>
    <n v="31654890307"/>
    <s v="Sandra Souza"/>
    <x v="0"/>
    <x v="1"/>
    <s v="Negócios"/>
    <x v="0"/>
    <d v="1958-01-08T00:00:00"/>
    <x v="2"/>
    <x v="2"/>
    <n v="9.9"/>
    <n v="66"/>
    <x v="0"/>
  </r>
  <r>
    <n v="31655555649"/>
    <s v="Nathan Bennett"/>
    <x v="0"/>
    <x v="0"/>
    <s v="Negócios"/>
    <x v="1"/>
    <d v="1983-04-14T00:00:00"/>
    <x v="3"/>
    <x v="3"/>
    <n v="79.900000000000006"/>
    <n v="41"/>
    <x v="3"/>
  </r>
  <r>
    <n v="31834447574"/>
    <s v="Maya Watson"/>
    <x v="0"/>
    <x v="1"/>
    <s v="Agronegócio"/>
    <x v="2"/>
    <d v="1992-11-12T00:00:00"/>
    <x v="3"/>
    <x v="2"/>
    <n v="9.9"/>
    <n v="31"/>
    <x v="1"/>
  </r>
  <r>
    <n v="31841604153"/>
    <s v="Luz Maria Maldonado"/>
    <x v="0"/>
    <x v="1"/>
    <s v="Finanças"/>
    <x v="1"/>
    <d v="1984-11-05T00:00:00"/>
    <x v="3"/>
    <x v="0"/>
    <n v="29.9"/>
    <n v="39"/>
    <x v="3"/>
  </r>
  <r>
    <n v="31886556092"/>
    <s v="Scarlett Mitchell"/>
    <x v="0"/>
    <x v="3"/>
    <s v="Economia"/>
    <x v="2"/>
    <d v="1990-01-30T00:00:00"/>
    <x v="3"/>
    <x v="2"/>
    <n v="9.9"/>
    <n v="34"/>
    <x v="1"/>
  </r>
  <r>
    <n v="31935346566"/>
    <s v="Bruno Pereira Rodrigues"/>
    <x v="0"/>
    <x v="1"/>
    <s v="Economia"/>
    <x v="0"/>
    <d v="1965-09-13T00:00:00"/>
    <x v="3"/>
    <x v="1"/>
    <n v="35.9"/>
    <n v="58"/>
    <x v="0"/>
  </r>
  <r>
    <n v="31969357318"/>
    <s v="Daniel Contreras"/>
    <x v="0"/>
    <x v="0"/>
    <s v="Finanças"/>
    <x v="1"/>
    <d v="1963-08-09T00:00:00"/>
    <x v="3"/>
    <x v="0"/>
    <n v="29.9"/>
    <n v="60"/>
    <x v="0"/>
  </r>
  <r>
    <n v="31971403474"/>
    <s v="Pedro Gomes"/>
    <x v="0"/>
    <x v="1"/>
    <s v="Negócios"/>
    <x v="0"/>
    <d v="1989-06-18T00:00:00"/>
    <x v="4"/>
    <x v="0"/>
    <n v="29.9"/>
    <n v="34"/>
    <x v="1"/>
  </r>
  <r>
    <n v="31985811228"/>
    <s v="Hector Aguilar"/>
    <x v="0"/>
    <x v="0"/>
    <s v="Economia"/>
    <x v="1"/>
    <d v="1990-06-11T00:00:00"/>
    <x v="0"/>
    <x v="0"/>
    <n v="29.9"/>
    <n v="33"/>
    <x v="1"/>
  </r>
  <r>
    <n v="32043808085"/>
    <s v="Matheus Almeida Santos"/>
    <x v="0"/>
    <x v="0"/>
    <s v="Negócios"/>
    <x v="0"/>
    <d v="1984-03-26T00:00:00"/>
    <x v="0"/>
    <x v="0"/>
    <n v="29.9"/>
    <n v="40"/>
    <x v="3"/>
  </r>
  <r>
    <n v="32056730472"/>
    <s v="Fernanda Gomes"/>
    <x v="1"/>
    <x v="3"/>
    <s v="Negócios"/>
    <x v="2"/>
    <d v="1966-09-20T00:00:00"/>
    <x v="0"/>
    <x v="2"/>
    <n v="9.9"/>
    <n v="57"/>
    <x v="0"/>
  </r>
  <r>
    <n v="32076448530"/>
    <s v="Adriana Silva"/>
    <x v="1"/>
    <x v="1"/>
    <s v="Agronegócio"/>
    <x v="0"/>
    <d v="1964-12-25T00:00:00"/>
    <x v="0"/>
    <x v="1"/>
    <n v="35.9"/>
    <n v="59"/>
    <x v="0"/>
  </r>
  <r>
    <n v="32076861903"/>
    <s v="Patricia Medina"/>
    <x v="1"/>
    <x v="1"/>
    <s v="Economia"/>
    <x v="0"/>
    <d v="1965-08-03T00:00:00"/>
    <x v="0"/>
    <x v="2"/>
    <n v="9.9"/>
    <n v="58"/>
    <x v="0"/>
  </r>
  <r>
    <n v="32080730358"/>
    <s v="Juan Carlos Espinoza"/>
    <x v="0"/>
    <x v="0"/>
    <s v="Esportes"/>
    <x v="0"/>
    <d v="1987-01-17T00:00:00"/>
    <x v="5"/>
    <x v="0"/>
    <n v="29.9"/>
    <n v="37"/>
    <x v="3"/>
  </r>
  <r>
    <n v="32359135449"/>
    <s v="Jordan Hayes"/>
    <x v="0"/>
    <x v="3"/>
    <s v="Negócios"/>
    <x v="2"/>
    <d v="1961-06-13T00:00:00"/>
    <x v="1"/>
    <x v="2"/>
    <n v="9.9"/>
    <n v="62"/>
    <x v="0"/>
  </r>
  <r>
    <n v="32373994641"/>
    <s v="Bruno Costa"/>
    <x v="0"/>
    <x v="1"/>
    <s v="Economia"/>
    <x v="2"/>
    <d v="1956-09-18T00:00:00"/>
    <x v="6"/>
    <x v="0"/>
    <n v="29.9"/>
    <n v="67"/>
    <x v="0"/>
  </r>
  <r>
    <n v="32485376814"/>
    <s v="Carlos Lopez"/>
    <x v="0"/>
    <x v="1"/>
    <s v="Negócios"/>
    <x v="1"/>
    <d v="1967-03-05T00:00:00"/>
    <x v="2"/>
    <x v="0"/>
    <n v="29.9"/>
    <n v="57"/>
    <x v="0"/>
  </r>
  <r>
    <n v="32558610072"/>
    <s v="Ana Silva"/>
    <x v="0"/>
    <x v="2"/>
    <s v="Finanças"/>
    <x v="1"/>
    <d v="1981-03-26T00:00:00"/>
    <x v="7"/>
    <x v="0"/>
    <n v="29.9"/>
    <n v="43"/>
    <x v="3"/>
  </r>
  <r>
    <n v="32861405102"/>
    <s v="Marcelo Almeida"/>
    <x v="0"/>
    <x v="3"/>
    <s v="Economia"/>
    <x v="2"/>
    <d v="1966-07-20T00:00:00"/>
    <x v="5"/>
    <x v="1"/>
    <n v="35.9"/>
    <n v="57"/>
    <x v="0"/>
  </r>
  <r>
    <n v="32910016971"/>
    <s v="Aria Rivera"/>
    <x v="1"/>
    <x v="1"/>
    <s v="Economia"/>
    <x v="0"/>
    <d v="1978-04-07T00:00:00"/>
    <x v="4"/>
    <x v="1"/>
    <n v="35.9"/>
    <n v="46"/>
    <x v="2"/>
  </r>
  <r>
    <n v="32944488783"/>
    <s v="Rafael Silva"/>
    <x v="0"/>
    <x v="3"/>
    <s v="Economia"/>
    <x v="0"/>
    <d v="1972-05-23T00:00:00"/>
    <x v="3"/>
    <x v="0"/>
    <n v="29.9"/>
    <n v="51"/>
    <x v="2"/>
  </r>
  <r>
    <n v="33045087456"/>
    <s v="Guillermo Soto"/>
    <x v="0"/>
    <x v="0"/>
    <s v="Negócios"/>
    <x v="0"/>
    <d v="1979-12-27T00:00:00"/>
    <x v="5"/>
    <x v="0"/>
    <n v="29.9"/>
    <n v="44"/>
    <x v="2"/>
  </r>
  <r>
    <n v="33083932561"/>
    <s v="Miguel Perez"/>
    <x v="0"/>
    <x v="3"/>
    <s v="Finanças"/>
    <x v="2"/>
    <d v="1955-02-10T00:00:00"/>
    <x v="4"/>
    <x v="0"/>
    <n v="29.9"/>
    <n v="69"/>
    <x v="0"/>
  </r>
  <r>
    <n v="33120179107"/>
    <s v="Emerson Rodrigues"/>
    <x v="0"/>
    <x v="3"/>
    <s v="Finanças"/>
    <x v="0"/>
    <d v="1987-09-28T00:00:00"/>
    <x v="3"/>
    <x v="0"/>
    <n v="29.9"/>
    <n v="36"/>
    <x v="3"/>
  </r>
  <r>
    <n v="33221309333"/>
    <s v="Raul Dominguez"/>
    <x v="0"/>
    <x v="1"/>
    <s v="Agronegócio"/>
    <x v="2"/>
    <d v="1960-03-27T00:00:00"/>
    <x v="0"/>
    <x v="2"/>
    <n v="9.9"/>
    <n v="64"/>
    <x v="0"/>
  </r>
  <r>
    <n v="33247836129"/>
    <s v="Vilma Oliveira"/>
    <x v="1"/>
    <x v="1"/>
    <s v="Economia"/>
    <x v="0"/>
    <d v="1995-10-16T00:00:00"/>
    <x v="0"/>
    <x v="2"/>
    <n v="9.9"/>
    <n v="28"/>
    <x v="1"/>
  </r>
  <r>
    <n v="33329077647"/>
    <s v="Joshua Reed"/>
    <x v="0"/>
    <x v="3"/>
    <s v="Economia"/>
    <x v="2"/>
    <d v="1960-08-21T00:00:00"/>
    <x v="0"/>
    <x v="0"/>
    <n v="29.9"/>
    <n v="63"/>
    <x v="0"/>
  </r>
  <r>
    <n v="33353271839"/>
    <s v="Alejandro Mendoza"/>
    <x v="0"/>
    <x v="1"/>
    <s v="Economia"/>
    <x v="0"/>
    <d v="1955-11-04T00:00:00"/>
    <x v="0"/>
    <x v="1"/>
    <n v="35.9"/>
    <n v="68"/>
    <x v="0"/>
  </r>
  <r>
    <n v="33391594252"/>
    <s v="Rafael Pereira"/>
    <x v="0"/>
    <x v="0"/>
    <s v="Política"/>
    <x v="1"/>
    <d v="1978-03-28T00:00:00"/>
    <x v="0"/>
    <x v="3"/>
    <n v="79.900000000000006"/>
    <n v="46"/>
    <x v="2"/>
  </r>
  <r>
    <n v="33482040032"/>
    <s v="Olivia Brown"/>
    <x v="1"/>
    <x v="3"/>
    <s v="Esportes"/>
    <x v="1"/>
    <d v="1989-03-20T00:00:00"/>
    <x v="0"/>
    <x v="2"/>
    <n v="9.9"/>
    <n v="35"/>
    <x v="3"/>
  </r>
  <r>
    <n v="33490248117"/>
    <s v="Mariana Martins"/>
    <x v="1"/>
    <x v="1"/>
    <s v="Economia"/>
    <x v="0"/>
    <d v="1990-01-10T00:00:00"/>
    <x v="0"/>
    <x v="2"/>
    <n v="9.9"/>
    <n v="34"/>
    <x v="1"/>
  </r>
  <r>
    <n v="33585062982"/>
    <s v="Javier Peralta"/>
    <x v="0"/>
    <x v="3"/>
    <s v="Agronegócio"/>
    <x v="2"/>
    <d v="1960-03-03T00:00:00"/>
    <x v="0"/>
    <x v="1"/>
    <n v="35.9"/>
    <n v="64"/>
    <x v="0"/>
  </r>
  <r>
    <n v="33614763115"/>
    <s v="Vilma Santos"/>
    <x v="1"/>
    <x v="0"/>
    <s v="Finanças"/>
    <x v="1"/>
    <d v="1993-01-04T00:00:00"/>
    <x v="0"/>
    <x v="0"/>
    <n v="29.9"/>
    <n v="31"/>
    <x v="1"/>
  </r>
  <r>
    <n v="33625332262"/>
    <s v="João Almeida"/>
    <x v="0"/>
    <x v="1"/>
    <s v="Economia"/>
    <x v="0"/>
    <d v="1969-11-16T00:00:00"/>
    <x v="1"/>
    <x v="1"/>
    <n v="35.9"/>
    <n v="54"/>
    <x v="0"/>
  </r>
  <r>
    <n v="33812311392"/>
    <s v="Laura Miranda"/>
    <x v="1"/>
    <x v="0"/>
    <s v="Política"/>
    <x v="0"/>
    <d v="1978-05-31T00:00:00"/>
    <x v="2"/>
    <x v="3"/>
    <n v="79.900000000000006"/>
    <n v="45"/>
    <x v="2"/>
  </r>
  <r>
    <n v="33839338471"/>
    <s v="José Alves"/>
    <x v="0"/>
    <x v="0"/>
    <s v="Economia"/>
    <x v="0"/>
    <d v="1995-06-27T00:00:00"/>
    <x v="3"/>
    <x v="0"/>
    <n v="29.9"/>
    <n v="28"/>
    <x v="1"/>
  </r>
  <r>
    <n v="33875188130"/>
    <s v="Laura Ribeiro Lima"/>
    <x v="1"/>
    <x v="2"/>
    <s v="Negócios"/>
    <x v="0"/>
    <d v="1976-03-26T00:00:00"/>
    <x v="3"/>
    <x v="1"/>
    <n v="35.9"/>
    <n v="48"/>
    <x v="2"/>
  </r>
  <r>
    <n v="33898601118"/>
    <s v="Luz Maria Maldonado"/>
    <x v="0"/>
    <x v="1"/>
    <s v="Finanças"/>
    <x v="1"/>
    <d v="1976-08-31T00:00:00"/>
    <x v="3"/>
    <x v="0"/>
    <n v="29.9"/>
    <n v="47"/>
    <x v="2"/>
  </r>
  <r>
    <n v="33959101715"/>
    <s v="José Oliveira"/>
    <x v="0"/>
    <x v="2"/>
    <s v="Esportes"/>
    <x v="2"/>
    <d v="1960-03-01T00:00:00"/>
    <x v="3"/>
    <x v="2"/>
    <n v="9.9"/>
    <n v="64"/>
    <x v="0"/>
  </r>
  <r>
    <n v="33969903983"/>
    <s v="Mariana Ortiz"/>
    <x v="1"/>
    <x v="1"/>
    <s v="Economia"/>
    <x v="2"/>
    <d v="1987-01-21T00:00:00"/>
    <x v="3"/>
    <x v="2"/>
    <n v="9.9"/>
    <n v="37"/>
    <x v="3"/>
  </r>
  <r>
    <n v="34020079542"/>
    <s v="Veronica Reyes"/>
    <x v="1"/>
    <x v="1"/>
    <s v="Economia"/>
    <x v="0"/>
    <d v="1963-11-11T00:00:00"/>
    <x v="3"/>
    <x v="2"/>
    <n v="9.9"/>
    <n v="60"/>
    <x v="0"/>
  </r>
  <r>
    <n v="34161309302"/>
    <s v="William Martins"/>
    <x v="0"/>
    <x v="1"/>
    <s v="Economia"/>
    <x v="0"/>
    <d v="1995-05-11T00:00:00"/>
    <x v="4"/>
    <x v="1"/>
    <n v="35.9"/>
    <n v="29"/>
    <x v="1"/>
  </r>
  <r>
    <n v="34264176742"/>
    <s v="Marcelo Rodrigues"/>
    <x v="0"/>
    <x v="2"/>
    <s v="Agronegócio"/>
    <x v="2"/>
    <d v="1976-10-04T00:00:00"/>
    <x v="0"/>
    <x v="2"/>
    <n v="9.9"/>
    <n v="47"/>
    <x v="2"/>
  </r>
  <r>
    <n v="34270622570"/>
    <s v="Ellie Hayes"/>
    <x v="1"/>
    <x v="1"/>
    <s v="Economia"/>
    <x v="2"/>
    <d v="1962-12-23T00:00:00"/>
    <x v="0"/>
    <x v="2"/>
    <n v="9.9"/>
    <n v="61"/>
    <x v="0"/>
  </r>
  <r>
    <n v="34275755986"/>
    <s v="Alejandra Herrera"/>
    <x v="1"/>
    <x v="0"/>
    <s v="Economia"/>
    <x v="0"/>
    <d v="1977-05-28T00:00:00"/>
    <x v="0"/>
    <x v="1"/>
    <n v="35.9"/>
    <n v="46"/>
    <x v="2"/>
  </r>
  <r>
    <n v="34289791783"/>
    <s v="Eduardo Medina"/>
    <x v="0"/>
    <x v="3"/>
    <s v="Economia"/>
    <x v="1"/>
    <d v="1970-11-14T00:00:00"/>
    <x v="0"/>
    <x v="1"/>
    <n v="35.9"/>
    <n v="53"/>
    <x v="2"/>
  </r>
  <r>
    <n v="34323519769"/>
    <s v="Gabriel Evans"/>
    <x v="0"/>
    <x v="3"/>
    <s v="Negócios"/>
    <x v="0"/>
    <d v="1960-07-13T00:00:00"/>
    <x v="0"/>
    <x v="2"/>
    <n v="9.9"/>
    <n v="63"/>
    <x v="0"/>
  </r>
  <r>
    <n v="34327422259"/>
    <s v="Alejandra Valdez"/>
    <x v="1"/>
    <x v="0"/>
    <s v="Agronegócio"/>
    <x v="0"/>
    <d v="1982-10-23T00:00:00"/>
    <x v="5"/>
    <x v="2"/>
    <n v="9.9"/>
    <n v="41"/>
    <x v="3"/>
  </r>
  <r>
    <n v="34473182713"/>
    <s v="Sandra Almeida"/>
    <x v="1"/>
    <x v="1"/>
    <s v="Economia"/>
    <x v="1"/>
    <d v="1988-08-14T00:00:00"/>
    <x v="1"/>
    <x v="0"/>
    <n v="29.9"/>
    <n v="35"/>
    <x v="3"/>
  </r>
  <r>
    <n v="34488046494"/>
    <s v="Jose Flores"/>
    <x v="0"/>
    <x v="0"/>
    <s v="Negócios"/>
    <x v="1"/>
    <d v="1988-05-15T00:00:00"/>
    <x v="6"/>
    <x v="2"/>
    <n v="9.9"/>
    <n v="36"/>
    <x v="3"/>
  </r>
  <r>
    <n v="34501445196"/>
    <s v="Martin Dominguez"/>
    <x v="1"/>
    <x v="1"/>
    <s v="Esportes"/>
    <x v="2"/>
    <d v="1974-05-18T00:00:00"/>
    <x v="2"/>
    <x v="2"/>
    <n v="9.9"/>
    <n v="50"/>
    <x v="2"/>
  </r>
  <r>
    <n v="34597516064"/>
    <s v="Mariana Costa"/>
    <x v="1"/>
    <x v="1"/>
    <s v="Economia"/>
    <x v="2"/>
    <d v="1994-12-30T00:00:00"/>
    <x v="7"/>
    <x v="1"/>
    <n v="35.9"/>
    <n v="29"/>
    <x v="1"/>
  </r>
  <r>
    <n v="34687761738"/>
    <s v="Julio Cesar Juarez"/>
    <x v="0"/>
    <x v="1"/>
    <s v="Economia"/>
    <x v="0"/>
    <d v="1978-07-07T00:00:00"/>
    <x v="5"/>
    <x v="0"/>
    <n v="29.9"/>
    <n v="45"/>
    <x v="2"/>
  </r>
  <r>
    <n v="34823329746"/>
    <s v="Mariana Velazquez"/>
    <x v="1"/>
    <x v="1"/>
    <s v="Política"/>
    <x v="1"/>
    <d v="1985-05-28T00:00:00"/>
    <x v="4"/>
    <x v="3"/>
    <n v="79.900000000000006"/>
    <n v="38"/>
    <x v="3"/>
  </r>
  <r>
    <n v="34871980724"/>
    <s v="Rita Almeida"/>
    <x v="1"/>
    <x v="1"/>
    <s v="Negócios"/>
    <x v="1"/>
    <d v="1982-05-22T00:00:00"/>
    <x v="3"/>
    <x v="0"/>
    <n v="29.9"/>
    <n v="41"/>
    <x v="3"/>
  </r>
  <r>
    <n v="34970941895"/>
    <s v="Henry Adams"/>
    <x v="0"/>
    <x v="4"/>
    <s v="Finanças"/>
    <x v="0"/>
    <d v="1970-06-02T00:00:00"/>
    <x v="5"/>
    <x v="0"/>
    <n v="29.9"/>
    <n v="53"/>
    <x v="2"/>
  </r>
  <r>
    <n v="35090452105"/>
    <s v="Thiago Barbosa"/>
    <x v="0"/>
    <x v="1"/>
    <s v="Esportes"/>
    <x v="0"/>
    <d v="1964-05-20T00:00:00"/>
    <x v="4"/>
    <x v="2"/>
    <n v="9.9"/>
    <n v="60"/>
    <x v="0"/>
  </r>
  <r>
    <n v="35105004714"/>
    <s v="Eva Powell"/>
    <x v="1"/>
    <x v="0"/>
    <s v="Economia"/>
    <x v="2"/>
    <d v="1991-01-18T00:00:00"/>
    <x v="3"/>
    <x v="0"/>
    <n v="29.9"/>
    <n v="33"/>
    <x v="1"/>
  </r>
  <r>
    <n v="35121899842"/>
    <s v="Marcelo Gomes"/>
    <x v="0"/>
    <x v="0"/>
    <s v="Economia"/>
    <x v="0"/>
    <d v="1982-10-28T00:00:00"/>
    <x v="0"/>
    <x v="0"/>
    <n v="29.9"/>
    <n v="41"/>
    <x v="3"/>
  </r>
  <r>
    <n v="35170686850"/>
    <s v="Fernando Ferreira"/>
    <x v="0"/>
    <x v="3"/>
    <s v="Economia"/>
    <x v="1"/>
    <d v="1979-11-21T00:00:00"/>
    <x v="0"/>
    <x v="2"/>
    <n v="9.9"/>
    <n v="44"/>
    <x v="2"/>
  </r>
  <r>
    <n v="35176580107"/>
    <s v="Rita Rodrigues"/>
    <x v="1"/>
    <x v="3"/>
    <s v="Finanças"/>
    <x v="2"/>
    <d v="1967-09-09T00:00:00"/>
    <x v="0"/>
    <x v="0"/>
    <n v="29.9"/>
    <n v="56"/>
    <x v="0"/>
  </r>
  <r>
    <n v="35197147629"/>
    <s v="Laura Mendes"/>
    <x v="1"/>
    <x v="1"/>
    <s v="Negócios"/>
    <x v="1"/>
    <d v="1971-01-15T00:00:00"/>
    <x v="0"/>
    <x v="0"/>
    <n v="29.9"/>
    <n v="53"/>
    <x v="2"/>
  </r>
  <r>
    <n v="35417799912"/>
    <s v="Marcelo Oliveira"/>
    <x v="0"/>
    <x v="2"/>
    <s v="Finanças"/>
    <x v="0"/>
    <d v="1963-07-24T00:00:00"/>
    <x v="0"/>
    <x v="0"/>
    <n v="29.9"/>
    <n v="60"/>
    <x v="0"/>
  </r>
  <r>
    <n v="35423777466"/>
    <s v="Renata Pereira"/>
    <x v="1"/>
    <x v="4"/>
    <s v="Negócios"/>
    <x v="0"/>
    <d v="1981-10-30T00:00:00"/>
    <x v="0"/>
    <x v="2"/>
    <n v="9.9"/>
    <n v="42"/>
    <x v="3"/>
  </r>
  <r>
    <n v="35462568122"/>
    <s v="Mariana Rodrigues"/>
    <x v="1"/>
    <x v="0"/>
    <s v="Política"/>
    <x v="0"/>
    <d v="1979-05-18T00:00:00"/>
    <x v="0"/>
    <x v="3"/>
    <n v="79.900000000000006"/>
    <n v="45"/>
    <x v="2"/>
  </r>
  <r>
    <n v="35465159917"/>
    <s v="Isabella Gonzalez"/>
    <x v="1"/>
    <x v="0"/>
    <s v="Economia"/>
    <x v="0"/>
    <d v="1987-05-19T00:00:00"/>
    <x v="0"/>
    <x v="2"/>
    <n v="9.9"/>
    <n v="36"/>
    <x v="3"/>
  </r>
  <r>
    <n v="35527656936"/>
    <s v="Lincoln Powell"/>
    <x v="0"/>
    <x v="1"/>
    <s v="Economia"/>
    <x v="1"/>
    <d v="1995-03-30T00:00:00"/>
    <x v="0"/>
    <x v="0"/>
    <n v="29.9"/>
    <n v="29"/>
    <x v="1"/>
  </r>
  <r>
    <n v="35548890934"/>
    <s v="Mayra Escobar"/>
    <x v="1"/>
    <x v="0"/>
    <s v="Economia"/>
    <x v="1"/>
    <d v="1988-03-30T00:00:00"/>
    <x v="1"/>
    <x v="0"/>
    <n v="29.9"/>
    <n v="36"/>
    <x v="3"/>
  </r>
  <r>
    <n v="35746258274"/>
    <s v="Sandra Almeida"/>
    <x v="1"/>
    <x v="1"/>
    <s v="Economia"/>
    <x v="1"/>
    <d v="1955-03-28T00:00:00"/>
    <x v="2"/>
    <x v="0"/>
    <n v="29.9"/>
    <n v="69"/>
    <x v="0"/>
  </r>
  <r>
    <n v="35783183279"/>
    <s v="Hazel Myers"/>
    <x v="1"/>
    <x v="1"/>
    <s v="Economia"/>
    <x v="0"/>
    <d v="1963-08-16T00:00:00"/>
    <x v="3"/>
    <x v="2"/>
    <n v="9.9"/>
    <n v="60"/>
    <x v="0"/>
  </r>
  <r>
    <n v="35825297492"/>
    <s v="Gabriel Evans"/>
    <x v="0"/>
    <x v="3"/>
    <s v="Negócios"/>
    <x v="0"/>
    <d v="1979-06-23T00:00:00"/>
    <x v="3"/>
    <x v="2"/>
    <n v="9.9"/>
    <n v="44"/>
    <x v="2"/>
  </r>
  <r>
    <n v="35897348847"/>
    <s v="Alma Rosa Delgado"/>
    <x v="1"/>
    <x v="1"/>
    <s v="Negócios"/>
    <x v="1"/>
    <d v="1955-02-26T00:00:00"/>
    <x v="3"/>
    <x v="2"/>
    <n v="9.9"/>
    <n v="69"/>
    <x v="0"/>
  </r>
  <r>
    <n v="35961398099"/>
    <s v="Jonathan Phillips"/>
    <x v="0"/>
    <x v="1"/>
    <s v="Política"/>
    <x v="1"/>
    <d v="1978-12-27T00:00:00"/>
    <x v="3"/>
    <x v="3"/>
    <n v="79.900000000000006"/>
    <n v="45"/>
    <x v="2"/>
  </r>
  <r>
    <n v="36049081781"/>
    <s v="Serenity Morris"/>
    <x v="0"/>
    <x v="1"/>
    <s v="Economia"/>
    <x v="0"/>
    <d v="1982-08-31T00:00:00"/>
    <x v="3"/>
    <x v="1"/>
    <n v="35.9"/>
    <n v="41"/>
    <x v="3"/>
  </r>
  <r>
    <n v="36224475305"/>
    <s v="Mariana Santos"/>
    <x v="1"/>
    <x v="0"/>
    <s v="Esportes"/>
    <x v="2"/>
    <d v="1977-02-27T00:00:00"/>
    <x v="3"/>
    <x v="2"/>
    <n v="9.9"/>
    <n v="47"/>
    <x v="2"/>
  </r>
  <r>
    <n v="36291746435"/>
    <s v="Hunter Sullivan"/>
    <x v="0"/>
    <x v="0"/>
    <s v="Economia"/>
    <x v="1"/>
    <d v="1998-09-07T00:00:00"/>
    <x v="4"/>
    <x v="0"/>
    <n v="29.9"/>
    <n v="25"/>
    <x v="1"/>
  </r>
  <r>
    <n v="36396081744"/>
    <s v="Penelope Bailey"/>
    <x v="1"/>
    <x v="1"/>
    <s v="Economia"/>
    <x v="2"/>
    <d v="1970-05-23T00:00:00"/>
    <x v="0"/>
    <x v="0"/>
    <n v="29.9"/>
    <n v="53"/>
    <x v="2"/>
  </r>
  <r>
    <n v="36398957082"/>
    <s v="Ana Karen Pacheco"/>
    <x v="1"/>
    <x v="0"/>
    <s v="Negócios"/>
    <x v="1"/>
    <d v="1980-05-07T00:00:00"/>
    <x v="0"/>
    <x v="2"/>
    <n v="9.9"/>
    <n v="44"/>
    <x v="2"/>
  </r>
  <r>
    <n v="36403873767"/>
    <s v="Daniel Santos Gomes"/>
    <x v="0"/>
    <x v="3"/>
    <s v="Agronegócio"/>
    <x v="2"/>
    <d v="1963-09-20T00:00:00"/>
    <x v="0"/>
    <x v="1"/>
    <n v="35.9"/>
    <n v="60"/>
    <x v="0"/>
  </r>
  <r>
    <n v="36431106330"/>
    <s v="Gustavo Neves"/>
    <x v="0"/>
    <x v="3"/>
    <s v="Agronegócio"/>
    <x v="2"/>
    <d v="1983-08-23T00:00:00"/>
    <x v="0"/>
    <x v="3"/>
    <n v="79.900000000000006"/>
    <n v="40"/>
    <x v="3"/>
  </r>
  <r>
    <n v="36441615871"/>
    <s v="Jorge Vazquez"/>
    <x v="0"/>
    <x v="0"/>
    <s v="Economia"/>
    <x v="0"/>
    <d v="1986-11-17T00:00:00"/>
    <x v="0"/>
    <x v="0"/>
    <n v="29.9"/>
    <n v="37"/>
    <x v="3"/>
  </r>
  <r>
    <n v="36548470324"/>
    <s v="Lorena Chavez"/>
    <x v="1"/>
    <x v="2"/>
    <s v="Negócios"/>
    <x v="0"/>
    <d v="1974-03-02T00:00:00"/>
    <x v="5"/>
    <x v="0"/>
    <n v="29.9"/>
    <n v="50"/>
    <x v="2"/>
  </r>
  <r>
    <n v="36755533362"/>
    <s v="Daniel Santos Gomes"/>
    <x v="0"/>
    <x v="3"/>
    <s v="Agronegócio"/>
    <x v="2"/>
    <d v="1991-01-06T00:00:00"/>
    <x v="1"/>
    <x v="1"/>
    <n v="35.9"/>
    <n v="33"/>
    <x v="1"/>
  </r>
  <r>
    <n v="36796717410"/>
    <s v="Lily Cooper"/>
    <x v="1"/>
    <x v="0"/>
    <s v="Esportes"/>
    <x v="0"/>
    <d v="1985-06-20T00:00:00"/>
    <x v="6"/>
    <x v="2"/>
    <n v="9.9"/>
    <n v="38"/>
    <x v="3"/>
  </r>
  <r>
    <n v="36829497298"/>
    <s v="Emerson Oliveira"/>
    <x v="0"/>
    <x v="2"/>
    <s v="Negócios"/>
    <x v="0"/>
    <d v="1981-10-24T00:00:00"/>
    <x v="2"/>
    <x v="1"/>
    <n v="35.9"/>
    <n v="42"/>
    <x v="3"/>
  </r>
  <r>
    <n v="36836051756"/>
    <s v="Rita Pereira"/>
    <x v="1"/>
    <x v="4"/>
    <s v="Negócios"/>
    <x v="0"/>
    <d v="1961-10-03T00:00:00"/>
    <x v="7"/>
    <x v="2"/>
    <n v="9.9"/>
    <n v="62"/>
    <x v="0"/>
  </r>
  <r>
    <n v="36873140092"/>
    <s v="Sandra Costa"/>
    <x v="1"/>
    <x v="0"/>
    <s v="Economia"/>
    <x v="2"/>
    <d v="1991-07-18T00:00:00"/>
    <x v="5"/>
    <x v="0"/>
    <n v="29.9"/>
    <n v="32"/>
    <x v="1"/>
  </r>
  <r>
    <n v="36909199882"/>
    <s v="Ana Silva"/>
    <x v="0"/>
    <x v="1"/>
    <s v="Finanças"/>
    <x v="1"/>
    <d v="1981-08-09T00:00:00"/>
    <x v="4"/>
    <x v="0"/>
    <n v="29.9"/>
    <n v="42"/>
    <x v="3"/>
  </r>
  <r>
    <n v="36918195071"/>
    <s v="Felipe Costa"/>
    <x v="0"/>
    <x v="3"/>
    <s v="Economia"/>
    <x v="2"/>
    <d v="1982-10-01T00:00:00"/>
    <x v="3"/>
    <x v="1"/>
    <n v="35.9"/>
    <n v="41"/>
    <x v="3"/>
  </r>
  <r>
    <n v="36953446241"/>
    <s v="Maria das Graças Silva"/>
    <x v="1"/>
    <x v="0"/>
    <s v="Finanças"/>
    <x v="0"/>
    <d v="1969-03-07T00:00:00"/>
    <x v="5"/>
    <x v="0"/>
    <n v="29.9"/>
    <n v="55"/>
    <x v="0"/>
  </r>
  <r>
    <n v="36997621098"/>
    <s v="José Gomes"/>
    <x v="0"/>
    <x v="3"/>
    <s v="Esportes"/>
    <x v="1"/>
    <d v="1961-06-30T00:00:00"/>
    <x v="4"/>
    <x v="2"/>
    <n v="9.9"/>
    <n v="62"/>
    <x v="0"/>
  </r>
  <r>
    <n v="37045628622"/>
    <s v="Bernardo Costa"/>
    <x v="0"/>
    <x v="3"/>
    <s v="Negócios"/>
    <x v="0"/>
    <d v="1968-04-08T00:00:00"/>
    <x v="3"/>
    <x v="0"/>
    <n v="29.9"/>
    <n v="56"/>
    <x v="0"/>
  </r>
  <r>
    <n v="37057811668"/>
    <s v="Adrian Ramirez"/>
    <x v="0"/>
    <x v="1"/>
    <s v="Economia"/>
    <x v="2"/>
    <d v="1989-05-07T00:00:00"/>
    <x v="0"/>
    <x v="2"/>
    <n v="9.9"/>
    <n v="35"/>
    <x v="3"/>
  </r>
  <r>
    <n v="37211590394"/>
    <s v="Carmen Guzman"/>
    <x v="1"/>
    <x v="3"/>
    <s v="Economia"/>
    <x v="1"/>
    <d v="1983-12-19T00:00:00"/>
    <x v="0"/>
    <x v="1"/>
    <n v="35.9"/>
    <n v="40"/>
    <x v="3"/>
  </r>
  <r>
    <n v="37236926966"/>
    <s v="Laura Pineda"/>
    <x v="1"/>
    <x v="1"/>
    <s v="Negócios"/>
    <x v="0"/>
    <d v="1965-08-24T00:00:00"/>
    <x v="0"/>
    <x v="0"/>
    <n v="29.9"/>
    <n v="58"/>
    <x v="0"/>
  </r>
  <r>
    <n v="37275901953"/>
    <s v="Juan Hernandez"/>
    <x v="0"/>
    <x v="0"/>
    <s v="Política"/>
    <x v="1"/>
    <d v="1964-03-26T00:00:00"/>
    <x v="0"/>
    <x v="3"/>
    <n v="79.900000000000006"/>
    <n v="60"/>
    <x v="0"/>
  </r>
  <r>
    <n v="37464613995"/>
    <s v="Laura Ribeiro Lima"/>
    <x v="1"/>
    <x v="2"/>
    <s v="Negócios"/>
    <x v="0"/>
    <d v="1980-09-02T00:00:00"/>
    <x v="0"/>
    <x v="1"/>
    <n v="35.9"/>
    <n v="43"/>
    <x v="3"/>
  </r>
  <r>
    <n v="37625766880"/>
    <s v="Zoey Ramirez"/>
    <x v="0"/>
    <x v="0"/>
    <s v="Economia"/>
    <x v="0"/>
    <d v="1963-05-14T00:00:00"/>
    <x v="0"/>
    <x v="2"/>
    <n v="9.9"/>
    <n v="61"/>
    <x v="0"/>
  </r>
  <r>
    <n v="37652222715"/>
    <s v="Harper Martinez"/>
    <x v="0"/>
    <x v="3"/>
    <s v="Economia"/>
    <x v="1"/>
    <d v="1995-09-07T00:00:00"/>
    <x v="0"/>
    <x v="1"/>
    <n v="35.9"/>
    <n v="28"/>
    <x v="1"/>
  </r>
  <r>
    <n v="37693210425"/>
    <s v="Francisco Morales"/>
    <x v="0"/>
    <x v="1"/>
    <s v="Negócios"/>
    <x v="1"/>
    <d v="1989-06-30T00:00:00"/>
    <x v="0"/>
    <x v="1"/>
    <n v="35.9"/>
    <n v="34"/>
    <x v="1"/>
  </r>
  <r>
    <n v="37769893799"/>
    <s v="Alejandro Garcia"/>
    <x v="0"/>
    <x v="1"/>
    <s v="Finanças"/>
    <x v="1"/>
    <d v="1960-09-02T00:00:00"/>
    <x v="0"/>
    <x v="0"/>
    <n v="29.9"/>
    <n v="63"/>
    <x v="0"/>
  </r>
  <r>
    <n v="37770682454"/>
    <s v="Patricia Fuentes"/>
    <x v="1"/>
    <x v="0"/>
    <s v="Política"/>
    <x v="1"/>
    <d v="1965-11-20T00:00:00"/>
    <x v="1"/>
    <x v="3"/>
    <n v="79.900000000000006"/>
    <n v="58"/>
    <x v="0"/>
  </r>
  <r>
    <n v="37789075708"/>
    <s v="Rita Martins"/>
    <x v="1"/>
    <x v="1"/>
    <s v="Economia"/>
    <x v="0"/>
    <d v="1990-08-16T00:00:00"/>
    <x v="2"/>
    <x v="1"/>
    <n v="35.9"/>
    <n v="33"/>
    <x v="1"/>
  </r>
  <r>
    <n v="37966879871"/>
    <s v="Rafael Martins"/>
    <x v="0"/>
    <x v="1"/>
    <s v="Agronegócio"/>
    <x v="0"/>
    <d v="1965-11-28T00:00:00"/>
    <x v="3"/>
    <x v="3"/>
    <n v="79.900000000000006"/>
    <n v="58"/>
    <x v="0"/>
  </r>
  <r>
    <n v="37973746271"/>
    <s v="William Santos"/>
    <x v="0"/>
    <x v="3"/>
    <s v="Economia"/>
    <x v="2"/>
    <d v="1978-03-15T00:00:00"/>
    <x v="3"/>
    <x v="2"/>
    <n v="9.9"/>
    <n v="46"/>
    <x v="2"/>
  </r>
  <r>
    <n v="37978687320"/>
    <s v="Salvador Bravo"/>
    <x v="0"/>
    <x v="3"/>
    <s v="Economia"/>
    <x v="2"/>
    <d v="1978-05-31T00:00:00"/>
    <x v="3"/>
    <x v="2"/>
    <n v="9.9"/>
    <n v="45"/>
    <x v="2"/>
  </r>
  <r>
    <n v="38016517517"/>
    <s v="Adrian Ramirez"/>
    <x v="0"/>
    <x v="1"/>
    <s v="Economia"/>
    <x v="2"/>
    <d v="1974-10-14T00:00:00"/>
    <x v="3"/>
    <x v="2"/>
    <n v="9.9"/>
    <n v="49"/>
    <x v="2"/>
  </r>
  <r>
    <n v="38032052054"/>
    <s v="Silvia Navarro"/>
    <x v="1"/>
    <x v="3"/>
    <s v="Finanças"/>
    <x v="0"/>
    <d v="1980-06-29T00:00:00"/>
    <x v="3"/>
    <x v="0"/>
    <n v="29.9"/>
    <n v="43"/>
    <x v="3"/>
  </r>
  <r>
    <n v="38046725955"/>
    <s v="Emerson Fernandes"/>
    <x v="0"/>
    <x v="1"/>
    <s v="Economia"/>
    <x v="2"/>
    <d v="1975-07-19T00:00:00"/>
    <x v="3"/>
    <x v="1"/>
    <n v="35.9"/>
    <n v="48"/>
    <x v="2"/>
  </r>
  <r>
    <n v="38165951942"/>
    <s v="Sofia King"/>
    <x v="1"/>
    <x v="0"/>
    <s v="Agronegócio"/>
    <x v="0"/>
    <d v="1973-09-07T00:00:00"/>
    <x v="4"/>
    <x v="1"/>
    <n v="35.9"/>
    <n v="50"/>
    <x v="2"/>
  </r>
  <r>
    <n v="38193237578"/>
    <s v="Mariana Pereira"/>
    <x v="1"/>
    <x v="3"/>
    <s v="Finanças"/>
    <x v="0"/>
    <d v="1987-12-23T00:00:00"/>
    <x v="0"/>
    <x v="0"/>
    <n v="29.9"/>
    <n v="36"/>
    <x v="3"/>
  </r>
  <r>
    <n v="38242427646"/>
    <s v="Sofia King"/>
    <x v="1"/>
    <x v="2"/>
    <s v="Agronegócio"/>
    <x v="0"/>
    <d v="1973-10-19T00:00:00"/>
    <x v="0"/>
    <x v="1"/>
    <n v="35.9"/>
    <n v="50"/>
    <x v="2"/>
  </r>
  <r>
    <n v="38262075932"/>
    <s v="Beatriz Delgado"/>
    <x v="1"/>
    <x v="0"/>
    <s v="Esportes"/>
    <x v="2"/>
    <d v="1974-07-21T00:00:00"/>
    <x v="0"/>
    <x v="2"/>
    <n v="9.9"/>
    <n v="49"/>
    <x v="2"/>
  </r>
  <r>
    <n v="38278121652"/>
    <s v="Mariana Pereira"/>
    <x v="1"/>
    <x v="3"/>
    <s v="Finanças"/>
    <x v="0"/>
    <d v="1960-11-21T00:00:00"/>
    <x v="0"/>
    <x v="0"/>
    <n v="29.9"/>
    <n v="63"/>
    <x v="0"/>
  </r>
  <r>
    <n v="38385048319"/>
    <s v="Madison Green"/>
    <x v="0"/>
    <x v="1"/>
    <s v="Agronegócio"/>
    <x v="0"/>
    <d v="1967-04-19T00:00:00"/>
    <x v="0"/>
    <x v="3"/>
    <n v="79.900000000000006"/>
    <n v="57"/>
    <x v="0"/>
  </r>
  <r>
    <n v="38423790148"/>
    <s v="José Santos"/>
    <x v="0"/>
    <x v="3"/>
    <s v="Negócios"/>
    <x v="0"/>
    <d v="1972-12-27T00:00:00"/>
    <x v="5"/>
    <x v="2"/>
    <n v="9.9"/>
    <n v="51"/>
    <x v="2"/>
  </r>
  <r>
    <n v="38436562260"/>
    <s v="Rafael Fernandes"/>
    <x v="0"/>
    <x v="1"/>
    <s v="Economia"/>
    <x v="0"/>
    <d v="1984-12-02T00:00:00"/>
    <x v="1"/>
    <x v="1"/>
    <n v="35.9"/>
    <n v="39"/>
    <x v="3"/>
  </r>
  <r>
    <n v="38480201900"/>
    <s v="Samuel Nelson"/>
    <x v="0"/>
    <x v="0"/>
    <s v="Política"/>
    <x v="1"/>
    <d v="1983-04-23T00:00:00"/>
    <x v="6"/>
    <x v="3"/>
    <n v="79.900000000000006"/>
    <n v="41"/>
    <x v="3"/>
  </r>
  <r>
    <n v="38500617594"/>
    <s v="Bernardo Santos"/>
    <x v="0"/>
    <x v="1"/>
    <s v="Política"/>
    <x v="1"/>
    <d v="1989-01-25T00:00:00"/>
    <x v="2"/>
    <x v="3"/>
    <n v="79.900000000000006"/>
    <n v="35"/>
    <x v="3"/>
  </r>
  <r>
    <n v="38507330255"/>
    <s v="Renata Costa"/>
    <x v="1"/>
    <x v="0"/>
    <s v="Economia"/>
    <x v="0"/>
    <d v="1971-08-19T00:00:00"/>
    <x v="7"/>
    <x v="1"/>
    <n v="35.9"/>
    <n v="52"/>
    <x v="2"/>
  </r>
  <r>
    <n v="38563822180"/>
    <s v="Maria Vargas"/>
    <x v="1"/>
    <x v="3"/>
    <s v="Economia"/>
    <x v="0"/>
    <d v="1978-09-20T00:00:00"/>
    <x v="5"/>
    <x v="0"/>
    <n v="29.9"/>
    <n v="45"/>
    <x v="2"/>
  </r>
  <r>
    <n v="38574789204"/>
    <s v="Marcelo Costa"/>
    <x v="0"/>
    <x v="1"/>
    <s v="Política"/>
    <x v="1"/>
    <d v="1969-10-11T00:00:00"/>
    <x v="4"/>
    <x v="3"/>
    <n v="79.900000000000006"/>
    <n v="54"/>
    <x v="0"/>
  </r>
  <r>
    <n v="38720204448"/>
    <s v="Benjamin Vasquez"/>
    <x v="0"/>
    <x v="0"/>
    <s v="Economia"/>
    <x v="0"/>
    <d v="1984-03-22T00:00:00"/>
    <x v="3"/>
    <x v="1"/>
    <n v="35.9"/>
    <n v="40"/>
    <x v="3"/>
  </r>
  <r>
    <n v="38732340622"/>
    <s v="Carolina Gomes Rodrigues"/>
    <x v="1"/>
    <x v="4"/>
    <s v="Negócios"/>
    <x v="0"/>
    <d v="1992-05-17T00:00:00"/>
    <x v="5"/>
    <x v="2"/>
    <n v="9.9"/>
    <n v="31"/>
    <x v="1"/>
  </r>
  <r>
    <n v="38738606466"/>
    <s v="Alexander Lewis"/>
    <x v="0"/>
    <x v="0"/>
    <s v="Política"/>
    <x v="0"/>
    <d v="1996-02-04T00:00:00"/>
    <x v="4"/>
    <x v="3"/>
    <n v="79.900000000000006"/>
    <n v="28"/>
    <x v="1"/>
  </r>
  <r>
    <n v="38797538027"/>
    <s v="Julian Russell"/>
    <x v="1"/>
    <x v="4"/>
    <s v="Negócios"/>
    <x v="0"/>
    <d v="1961-11-11T00:00:00"/>
    <x v="3"/>
    <x v="2"/>
    <n v="9.9"/>
    <n v="62"/>
    <x v="0"/>
  </r>
  <r>
    <n v="38804835975"/>
    <s v="Felipe Costa"/>
    <x v="0"/>
    <x v="3"/>
    <s v="Economia"/>
    <x v="2"/>
    <d v="1987-01-25T00:00:00"/>
    <x v="0"/>
    <x v="1"/>
    <n v="35.9"/>
    <n v="37"/>
    <x v="3"/>
  </r>
  <r>
    <n v="39011685266"/>
    <s v="Mariana Almeida"/>
    <x v="1"/>
    <x v="3"/>
    <s v="Economia"/>
    <x v="0"/>
    <d v="1968-08-25T00:00:00"/>
    <x v="0"/>
    <x v="1"/>
    <n v="35.9"/>
    <n v="55"/>
    <x v="0"/>
  </r>
  <r>
    <n v="39016491455"/>
    <s v="Isabelle Howard"/>
    <x v="1"/>
    <x v="1"/>
    <s v="Esportes"/>
    <x v="2"/>
    <d v="1975-04-07T00:00:00"/>
    <x v="0"/>
    <x v="2"/>
    <n v="9.9"/>
    <n v="49"/>
    <x v="2"/>
  </r>
  <r>
    <n v="39161320210"/>
    <s v="William Rodrigues"/>
    <x v="0"/>
    <x v="0"/>
    <s v="Negócios"/>
    <x v="0"/>
    <d v="1986-05-30T00:00:00"/>
    <x v="0"/>
    <x v="2"/>
    <n v="9.9"/>
    <n v="37"/>
    <x v="3"/>
  </r>
  <r>
    <n v="39205147195"/>
    <s v="Pedro Santos"/>
    <x v="0"/>
    <x v="0"/>
    <s v="Economia"/>
    <x v="0"/>
    <d v="1956-05-24T00:00:00"/>
    <x v="0"/>
    <x v="1"/>
    <n v="35.9"/>
    <n v="67"/>
    <x v="0"/>
  </r>
  <r>
    <n v="39217268673"/>
    <s v="Daniel Santos"/>
    <x v="0"/>
    <x v="0"/>
    <s v="Agronegócio"/>
    <x v="2"/>
    <d v="1965-05-10T00:00:00"/>
    <x v="0"/>
    <x v="3"/>
    <n v="79.900000000000006"/>
    <n v="59"/>
    <x v="0"/>
  </r>
  <r>
    <n v="39300028907"/>
    <s v="Gabriela Mendoza"/>
    <x v="0"/>
    <x v="3"/>
    <s v="Esportes"/>
    <x v="1"/>
    <d v="1956-11-19T00:00:00"/>
    <x v="0"/>
    <x v="2"/>
    <n v="9.9"/>
    <n v="67"/>
    <x v="0"/>
  </r>
  <r>
    <n v="39316864102"/>
    <s v="Rafael Pereira"/>
    <x v="0"/>
    <x v="0"/>
    <s v="Política"/>
    <x v="1"/>
    <d v="1980-06-27T00:00:00"/>
    <x v="0"/>
    <x v="3"/>
    <n v="79.900000000000006"/>
    <n v="43"/>
    <x v="3"/>
  </r>
  <r>
    <n v="39357979099"/>
    <s v="Rodrigo Torres"/>
    <x v="0"/>
    <x v="0"/>
    <s v="Economia"/>
    <x v="0"/>
    <d v="1977-04-09T00:00:00"/>
    <x v="0"/>
    <x v="2"/>
    <n v="9.9"/>
    <n v="47"/>
    <x v="2"/>
  </r>
  <r>
    <n v="39482642623"/>
    <s v="Gabriel Lima"/>
    <x v="0"/>
    <x v="1"/>
    <s v="Agronegócio"/>
    <x v="0"/>
    <d v="1969-05-07T00:00:00"/>
    <x v="1"/>
    <x v="1"/>
    <n v="35.9"/>
    <n v="55"/>
    <x v="0"/>
  </r>
  <r>
    <n v="39613225496"/>
    <s v="Rodrigo Mora"/>
    <x v="0"/>
    <x v="2"/>
    <s v="Negócios"/>
    <x v="2"/>
    <d v="1973-01-09T00:00:00"/>
    <x v="2"/>
    <x v="0"/>
    <n v="29.9"/>
    <n v="51"/>
    <x v="2"/>
  </r>
  <r>
    <n v="39632140009"/>
    <s v="Pedro Almeida"/>
    <x v="0"/>
    <x v="1"/>
    <s v="Finanças"/>
    <x v="0"/>
    <d v="1987-10-31T00:00:00"/>
    <x v="3"/>
    <x v="0"/>
    <n v="29.9"/>
    <n v="36"/>
    <x v="3"/>
  </r>
  <r>
    <n v="39660449593"/>
    <s v="Skylar Turner"/>
    <x v="1"/>
    <x v="2"/>
    <s v="Esportes"/>
    <x v="2"/>
    <d v="1992-11-29T00:00:00"/>
    <x v="3"/>
    <x v="2"/>
    <n v="9.9"/>
    <n v="31"/>
    <x v="1"/>
  </r>
  <r>
    <n v="39678618932"/>
    <s v="Letícia Gomes"/>
    <x v="1"/>
    <x v="3"/>
    <s v="Negócios"/>
    <x v="0"/>
    <d v="1975-08-15T00:00:00"/>
    <x v="3"/>
    <x v="1"/>
    <n v="35.9"/>
    <n v="48"/>
    <x v="2"/>
  </r>
  <r>
    <n v="39680758592"/>
    <s v="Thiago Barbosa Santos"/>
    <x v="0"/>
    <x v="1"/>
    <s v="Economia"/>
    <x v="0"/>
    <d v="1988-04-20T00:00:00"/>
    <x v="3"/>
    <x v="2"/>
    <n v="9.9"/>
    <n v="36"/>
    <x v="3"/>
  </r>
  <r>
    <n v="39721320066"/>
    <s v="Elizabeth Young"/>
    <x v="1"/>
    <x v="3"/>
    <s v="Economia"/>
    <x v="0"/>
    <d v="1970-04-02T00:00:00"/>
    <x v="3"/>
    <x v="0"/>
    <n v="29.9"/>
    <n v="54"/>
    <x v="0"/>
  </r>
  <r>
    <n v="39724964915"/>
    <s v="Alexander Lewis"/>
    <x v="0"/>
    <x v="2"/>
    <s v="Política"/>
    <x v="0"/>
    <d v="1965-10-29T00:00:00"/>
    <x v="3"/>
    <x v="3"/>
    <n v="79.900000000000006"/>
    <n v="58"/>
    <x v="0"/>
  </r>
  <r>
    <n v="39816227977"/>
    <s v="Eva Foster"/>
    <x v="1"/>
    <x v="0"/>
    <s v="Economia"/>
    <x v="0"/>
    <d v="1974-05-13T00:00:00"/>
    <x v="4"/>
    <x v="1"/>
    <n v="35.9"/>
    <n v="50"/>
    <x v="2"/>
  </r>
  <r>
    <n v="39864520583"/>
    <s v="Mateus Almeida"/>
    <x v="0"/>
    <x v="1"/>
    <s v="Economia"/>
    <x v="0"/>
    <d v="1994-12-21T00:00:00"/>
    <x v="0"/>
    <x v="1"/>
    <n v="35.9"/>
    <n v="29"/>
    <x v="1"/>
  </r>
  <r>
    <n v="40059307494"/>
    <s v="Renata Almeida"/>
    <x v="1"/>
    <x v="1"/>
    <s v="Finanças"/>
    <x v="1"/>
    <d v="1955-05-30T00:00:00"/>
    <x v="0"/>
    <x v="0"/>
    <n v="29.9"/>
    <n v="68"/>
    <x v="0"/>
  </r>
  <r>
    <n v="40159055249"/>
    <s v="Fernando Rios"/>
    <x v="0"/>
    <x v="1"/>
    <s v="Negócios"/>
    <x v="1"/>
    <d v="1971-08-20T00:00:00"/>
    <x v="0"/>
    <x v="2"/>
    <n v="9.9"/>
    <n v="52"/>
    <x v="2"/>
  </r>
  <r>
    <n v="40164211200"/>
    <s v="Marcelo Silva"/>
    <x v="0"/>
    <x v="1"/>
    <s v="Economia"/>
    <x v="0"/>
    <d v="1958-04-18T00:00:00"/>
    <x v="0"/>
    <x v="1"/>
    <n v="35.9"/>
    <n v="66"/>
    <x v="0"/>
  </r>
  <r>
    <n v="40243096179"/>
    <s v="Rita Fernandes"/>
    <x v="1"/>
    <x v="1"/>
    <s v="Negócios"/>
    <x v="0"/>
    <d v="1965-09-24T00:00:00"/>
    <x v="0"/>
    <x v="0"/>
    <n v="29.9"/>
    <n v="58"/>
    <x v="0"/>
  </r>
  <r>
    <n v="40248631760"/>
    <s v="Renata Oliveira"/>
    <x v="1"/>
    <x v="0"/>
    <s v="Negócios"/>
    <x v="1"/>
    <d v="1995-05-19T00:00:00"/>
    <x v="5"/>
    <x v="2"/>
    <n v="9.9"/>
    <n v="28"/>
    <x v="1"/>
  </r>
  <r>
    <n v="40397347853"/>
    <s v="Paisley King"/>
    <x v="0"/>
    <x v="0"/>
    <s v="Agronegócio"/>
    <x v="0"/>
    <d v="1987-06-23T00:00:00"/>
    <x v="1"/>
    <x v="3"/>
    <n v="79.900000000000006"/>
    <n v="36"/>
    <x v="3"/>
  </r>
  <r>
    <n v="40622214948"/>
    <s v="Estefania Velasco"/>
    <x v="1"/>
    <x v="3"/>
    <s v="Política"/>
    <x v="2"/>
    <d v="1986-03-05T00:00:00"/>
    <x v="6"/>
    <x v="3"/>
    <n v="79.900000000000006"/>
    <n v="38"/>
    <x v="3"/>
  </r>
  <r>
    <n v="40810919120"/>
    <s v="Rafael Oliveira"/>
    <x v="0"/>
    <x v="1"/>
    <s v="Negócios"/>
    <x v="1"/>
    <d v="1960-08-03T00:00:00"/>
    <x v="2"/>
    <x v="1"/>
    <n v="35.9"/>
    <n v="63"/>
    <x v="0"/>
  </r>
  <r>
    <n v="40891216129"/>
    <s v="Sandra Oliveira"/>
    <x v="1"/>
    <x v="2"/>
    <s v="Negócios"/>
    <x v="0"/>
    <d v="1984-01-22T00:00:00"/>
    <x v="7"/>
    <x v="2"/>
    <n v="9.9"/>
    <n v="40"/>
    <x v="3"/>
  </r>
  <r>
    <n v="40907557618"/>
    <s v="Emilio Sandoval"/>
    <x v="0"/>
    <x v="1"/>
    <s v="Economia"/>
    <x v="2"/>
    <d v="1973-02-05T00:00:00"/>
    <x v="5"/>
    <x v="1"/>
    <n v="35.9"/>
    <n v="51"/>
    <x v="2"/>
  </r>
  <r>
    <n v="40955062884"/>
    <s v="Bruno Martins"/>
    <x v="0"/>
    <x v="0"/>
    <s v="Negócios"/>
    <x v="0"/>
    <d v="1993-01-07T00:00:00"/>
    <x v="4"/>
    <x v="3"/>
    <n v="79.900000000000006"/>
    <n v="31"/>
    <x v="1"/>
  </r>
  <r>
    <n v="41027808363"/>
    <s v="Audrey Brooks"/>
    <x v="1"/>
    <x v="3"/>
    <s v="Agronegócio"/>
    <x v="2"/>
    <d v="1985-08-25T00:00:00"/>
    <x v="3"/>
    <x v="1"/>
    <n v="35.9"/>
    <n v="38"/>
    <x v="3"/>
  </r>
  <r>
    <n v="41038445189"/>
    <s v="Vanessa Costa"/>
    <x v="1"/>
    <x v="0"/>
    <s v="Política"/>
    <x v="1"/>
    <d v="1984-10-07T00:00:00"/>
    <x v="5"/>
    <x v="3"/>
    <n v="79.900000000000006"/>
    <n v="39"/>
    <x v="3"/>
  </r>
  <r>
    <n v="41107442085"/>
    <s v="Diego Ramirez"/>
    <x v="0"/>
    <x v="4"/>
    <s v="Negócios"/>
    <x v="0"/>
    <d v="1963-05-08T00:00:00"/>
    <x v="4"/>
    <x v="2"/>
    <n v="9.9"/>
    <n v="61"/>
    <x v="0"/>
  </r>
  <r>
    <n v="41158621693"/>
    <s v="Pedro Martins"/>
    <x v="0"/>
    <x v="0"/>
    <s v="Finanças"/>
    <x v="1"/>
    <d v="1979-09-20T00:00:00"/>
    <x v="3"/>
    <x v="0"/>
    <n v="29.9"/>
    <n v="44"/>
    <x v="2"/>
  </r>
  <r>
    <n v="41215776974"/>
    <s v="Noah Jones"/>
    <x v="0"/>
    <x v="1"/>
    <s v="Finanças"/>
    <x v="0"/>
    <d v="1975-12-04T00:00:00"/>
    <x v="0"/>
    <x v="0"/>
    <n v="29.9"/>
    <n v="48"/>
    <x v="2"/>
  </r>
  <r>
    <n v="41339088783"/>
    <s v="Arturo Leon"/>
    <x v="0"/>
    <x v="3"/>
    <s v="Agronegócio"/>
    <x v="1"/>
    <d v="1968-11-08T00:00:00"/>
    <x v="0"/>
    <x v="2"/>
    <n v="9.9"/>
    <n v="55"/>
    <x v="0"/>
  </r>
  <r>
    <n v="41353457861"/>
    <s v="Fernanda Roman"/>
    <x v="1"/>
    <x v="3"/>
    <s v="Negócios"/>
    <x v="0"/>
    <d v="1994-08-06T00:00:00"/>
    <x v="0"/>
    <x v="0"/>
    <n v="29.9"/>
    <n v="29"/>
    <x v="1"/>
  </r>
  <r>
    <n v="41369590305"/>
    <s v="Emerson Martins"/>
    <x v="0"/>
    <x v="0"/>
    <s v="Agronegócio"/>
    <x v="0"/>
    <d v="1974-06-21T00:00:00"/>
    <x v="0"/>
    <x v="3"/>
    <n v="79.900000000000006"/>
    <n v="49"/>
    <x v="2"/>
  </r>
  <r>
    <n v="41395444838"/>
    <s v="Pedro Costa"/>
    <x v="0"/>
    <x v="0"/>
    <s v="Negócios"/>
    <x v="0"/>
    <d v="1956-09-22T00:00:00"/>
    <x v="0"/>
    <x v="0"/>
    <n v="29.9"/>
    <n v="67"/>
    <x v="0"/>
  </r>
  <r>
    <n v="41472299450"/>
    <s v="Avery Roberts"/>
    <x v="1"/>
    <x v="2"/>
    <s v="Negócios"/>
    <x v="2"/>
    <d v="1989-03-15T00:00:00"/>
    <x v="0"/>
    <x v="0"/>
    <n v="29.9"/>
    <n v="35"/>
    <x v="3"/>
  </r>
  <r>
    <n v="41524354226"/>
    <s v="Juliana de Souza Oliveira"/>
    <x v="1"/>
    <x v="1"/>
    <s v="Negócios"/>
    <x v="1"/>
    <d v="1978-06-29T00:00:00"/>
    <x v="0"/>
    <x v="2"/>
    <n v="9.9"/>
    <n v="45"/>
    <x v="2"/>
  </r>
  <r>
    <n v="41632449755"/>
    <s v="Emma Cruz"/>
    <x v="1"/>
    <x v="1"/>
    <s v="Esportes"/>
    <x v="0"/>
    <d v="1975-05-17T00:00:00"/>
    <x v="0"/>
    <x v="0"/>
    <n v="29.9"/>
    <n v="49"/>
    <x v="2"/>
  </r>
  <r>
    <n v="41701732128"/>
    <s v="Vilma Almeida"/>
    <x v="1"/>
    <x v="1"/>
    <s v="Negócios"/>
    <x v="0"/>
    <d v="1993-08-13T00:00:00"/>
    <x v="0"/>
    <x v="2"/>
    <n v="9.9"/>
    <n v="30"/>
    <x v="1"/>
  </r>
  <r>
    <n v="41731968364"/>
    <s v="Felipe Alves Pereira"/>
    <x v="0"/>
    <x v="1"/>
    <s v="Economia"/>
    <x v="0"/>
    <d v="1969-08-04T00:00:00"/>
    <x v="1"/>
    <x v="0"/>
    <n v="29.9"/>
    <n v="54"/>
    <x v="0"/>
  </r>
  <r>
    <n v="41775805487"/>
    <s v="Mario Aguilar"/>
    <x v="0"/>
    <x v="0"/>
    <s v="Negócios"/>
    <x v="1"/>
    <d v="1981-12-26T00:00:00"/>
    <x v="2"/>
    <x v="3"/>
    <n v="79.900000000000006"/>
    <n v="42"/>
    <x v="3"/>
  </r>
  <r>
    <n v="41826922437"/>
    <s v="Matthew Ward"/>
    <x v="0"/>
    <x v="0"/>
    <s v="Política"/>
    <x v="1"/>
    <d v="1977-06-19T00:00:00"/>
    <x v="3"/>
    <x v="3"/>
    <n v="79.900000000000006"/>
    <n v="46"/>
    <x v="2"/>
  </r>
  <r>
    <n v="41852635544"/>
    <s v="Victoria Murphy"/>
    <x v="1"/>
    <x v="1"/>
    <s v="Economia"/>
    <x v="2"/>
    <d v="1980-10-11T00:00:00"/>
    <x v="3"/>
    <x v="1"/>
    <n v="35.9"/>
    <n v="43"/>
    <x v="3"/>
  </r>
  <r>
    <n v="41877616889"/>
    <s v="Nathan Bennett"/>
    <x v="0"/>
    <x v="0"/>
    <s v="Negócios"/>
    <x v="1"/>
    <d v="1980-10-05T00:00:00"/>
    <x v="3"/>
    <x v="3"/>
    <n v="79.900000000000006"/>
    <n v="43"/>
    <x v="3"/>
  </r>
  <r>
    <n v="41899088127"/>
    <s v="Beatriz Castro Oliveira"/>
    <x v="1"/>
    <x v="1"/>
    <s v="Negócios"/>
    <x v="1"/>
    <d v="1990-05-20T00:00:00"/>
    <x v="3"/>
    <x v="3"/>
    <n v="79.900000000000006"/>
    <n v="33"/>
    <x v="1"/>
  </r>
  <r>
    <n v="41968341445"/>
    <s v="Alejandra Ortega"/>
    <x v="1"/>
    <x v="0"/>
    <s v="Negócios"/>
    <x v="0"/>
    <d v="1967-07-07T00:00:00"/>
    <x v="3"/>
    <x v="1"/>
    <n v="35.9"/>
    <n v="56"/>
    <x v="0"/>
  </r>
  <r>
    <n v="42013420174"/>
    <s v="Bernardo Oliveira"/>
    <x v="0"/>
    <x v="3"/>
    <s v="Economia"/>
    <x v="1"/>
    <d v="1956-04-21T00:00:00"/>
    <x v="3"/>
    <x v="1"/>
    <n v="35.9"/>
    <n v="68"/>
    <x v="0"/>
  </r>
  <r>
    <n v="42084569981"/>
    <s v="Jackson Smith"/>
    <x v="0"/>
    <x v="1"/>
    <s v="Negócios"/>
    <x v="1"/>
    <d v="1981-07-10T00:00:00"/>
    <x v="4"/>
    <x v="1"/>
    <n v="35.9"/>
    <n v="42"/>
    <x v="3"/>
  </r>
  <r>
    <n v="42110059785"/>
    <s v="Bernardo Pereira"/>
    <x v="0"/>
    <x v="0"/>
    <s v="Negócios"/>
    <x v="0"/>
    <d v="1979-04-29T00:00:00"/>
    <x v="0"/>
    <x v="0"/>
    <n v="29.9"/>
    <n v="45"/>
    <x v="2"/>
  </r>
  <r>
    <n v="42155541132"/>
    <s v="Jorge Hernandez"/>
    <x v="0"/>
    <x v="0"/>
    <s v="Agronegócio"/>
    <x v="2"/>
    <d v="1962-12-22T00:00:00"/>
    <x v="0"/>
    <x v="3"/>
    <n v="79.900000000000006"/>
    <n v="61"/>
    <x v="0"/>
  </r>
  <r>
    <n v="42224635144"/>
    <s v="Lincoln Hughes"/>
    <x v="0"/>
    <x v="3"/>
    <s v="Política"/>
    <x v="2"/>
    <d v="1961-04-23T00:00:00"/>
    <x v="0"/>
    <x v="3"/>
    <n v="79.900000000000006"/>
    <n v="63"/>
    <x v="0"/>
  </r>
  <r>
    <n v="42314907630"/>
    <s v="Benjamin Moore"/>
    <x v="0"/>
    <x v="0"/>
    <s v="Negócios"/>
    <x v="0"/>
    <d v="1986-05-19T00:00:00"/>
    <x v="0"/>
    <x v="0"/>
    <n v="29.9"/>
    <n v="37"/>
    <x v="3"/>
  </r>
  <r>
    <n v="42346270511"/>
    <s v="Paulo Lima"/>
    <x v="1"/>
    <x v="0"/>
    <s v="Economia"/>
    <x v="2"/>
    <d v="1982-10-30T00:00:00"/>
    <x v="0"/>
    <x v="0"/>
    <n v="29.9"/>
    <n v="41"/>
    <x v="3"/>
  </r>
  <r>
    <n v="42400046505"/>
    <s v="Bernardo Fernandes"/>
    <x v="0"/>
    <x v="0"/>
    <s v="Finanças"/>
    <x v="0"/>
    <d v="1976-08-13T00:00:00"/>
    <x v="5"/>
    <x v="0"/>
    <n v="29.9"/>
    <n v="47"/>
    <x v="2"/>
  </r>
  <r>
    <n v="42434329390"/>
    <s v="Nicholas Foster"/>
    <x v="0"/>
    <x v="2"/>
    <s v="Negócios"/>
    <x v="0"/>
    <d v="1965-11-12T00:00:00"/>
    <x v="1"/>
    <x v="2"/>
    <n v="9.9"/>
    <n v="58"/>
    <x v="0"/>
  </r>
  <r>
    <n v="42460611185"/>
    <s v="Vanessa Sosa"/>
    <x v="1"/>
    <x v="0"/>
    <s v="Finanças"/>
    <x v="0"/>
    <d v="1968-03-11T00:00:00"/>
    <x v="6"/>
    <x v="0"/>
    <n v="29.9"/>
    <n v="56"/>
    <x v="0"/>
  </r>
  <r>
    <n v="42658139379"/>
    <s v="Christian Bennett"/>
    <x v="0"/>
    <x v="0"/>
    <s v="Política"/>
    <x v="0"/>
    <d v="1989-09-19T00:00:00"/>
    <x v="2"/>
    <x v="3"/>
    <n v="79.900000000000006"/>
    <n v="34"/>
    <x v="1"/>
  </r>
  <r>
    <n v="42678380444"/>
    <s v="Samuel Nelson"/>
    <x v="0"/>
    <x v="0"/>
    <s v="Política"/>
    <x v="1"/>
    <d v="1977-07-03T00:00:00"/>
    <x v="7"/>
    <x v="3"/>
    <n v="79.900000000000006"/>
    <n v="46"/>
    <x v="2"/>
  </r>
  <r>
    <n v="42680912819"/>
    <s v="Chloe Coleman"/>
    <x v="1"/>
    <x v="1"/>
    <s v="Agronegócio"/>
    <x v="0"/>
    <d v="1975-03-04T00:00:00"/>
    <x v="5"/>
    <x v="1"/>
    <n v="35.9"/>
    <n v="49"/>
    <x v="2"/>
  </r>
  <r>
    <n v="42735692164"/>
    <s v="Fernando Ferreira"/>
    <x v="0"/>
    <x v="3"/>
    <s v="Economia"/>
    <x v="1"/>
    <d v="1994-12-31T00:00:00"/>
    <x v="4"/>
    <x v="2"/>
    <n v="9.9"/>
    <n v="29"/>
    <x v="1"/>
  </r>
  <r>
    <n v="42745218846"/>
    <s v="William Costa"/>
    <x v="0"/>
    <x v="1"/>
    <s v="Economia"/>
    <x v="2"/>
    <d v="1978-09-05T00:00:00"/>
    <x v="3"/>
    <x v="1"/>
    <n v="35.9"/>
    <n v="45"/>
    <x v="2"/>
  </r>
  <r>
    <n v="42808465160"/>
    <s v="Rafael Fernandes"/>
    <x v="0"/>
    <x v="1"/>
    <s v="Economia"/>
    <x v="0"/>
    <d v="1971-09-10T00:00:00"/>
    <x v="5"/>
    <x v="1"/>
    <n v="35.9"/>
    <n v="52"/>
    <x v="2"/>
  </r>
  <r>
    <n v="42864213763"/>
    <s v="Ellie Hayes"/>
    <x v="1"/>
    <x v="1"/>
    <s v="Economia"/>
    <x v="2"/>
    <d v="1988-11-19T00:00:00"/>
    <x v="4"/>
    <x v="2"/>
    <n v="9.9"/>
    <n v="35"/>
    <x v="3"/>
  </r>
  <r>
    <n v="42955842741"/>
    <s v="Skylar Turner"/>
    <x v="1"/>
    <x v="2"/>
    <s v="Esportes"/>
    <x v="2"/>
    <d v="1972-12-20T00:00:00"/>
    <x v="3"/>
    <x v="2"/>
    <n v="9.9"/>
    <n v="51"/>
    <x v="2"/>
  </r>
  <r>
    <n v="42981421778"/>
    <s v="Connor Wood"/>
    <x v="1"/>
    <x v="0"/>
    <s v="Finanças"/>
    <x v="1"/>
    <d v="1989-02-24T00:00:00"/>
    <x v="0"/>
    <x v="0"/>
    <n v="29.9"/>
    <n v="35"/>
    <x v="3"/>
  </r>
  <r>
    <n v="43001444003"/>
    <s v="Emerson Gomes"/>
    <x v="0"/>
    <x v="1"/>
    <s v="Negócios"/>
    <x v="1"/>
    <d v="1969-08-29T00:00:00"/>
    <x v="0"/>
    <x v="0"/>
    <n v="29.9"/>
    <n v="54"/>
    <x v="0"/>
  </r>
  <r>
    <n v="43008928497"/>
    <s v="Zachary Simmons"/>
    <x v="0"/>
    <x v="0"/>
    <s v="Negócios"/>
    <x v="1"/>
    <d v="1987-11-16T00:00:00"/>
    <x v="0"/>
    <x v="2"/>
    <n v="9.9"/>
    <n v="36"/>
    <x v="3"/>
  </r>
  <r>
    <n v="43118591455"/>
    <s v="Eli Parker"/>
    <x v="0"/>
    <x v="1"/>
    <s v="Negócios"/>
    <x v="1"/>
    <d v="1968-06-25T00:00:00"/>
    <x v="0"/>
    <x v="3"/>
    <n v="79.900000000000006"/>
    <n v="55"/>
    <x v="0"/>
  </r>
  <r>
    <n v="43245355006"/>
    <s v="Bruno Rodrigues"/>
    <x v="0"/>
    <x v="0"/>
    <s v="Negócios"/>
    <x v="0"/>
    <d v="1994-07-24T00:00:00"/>
    <x v="0"/>
    <x v="1"/>
    <n v="35.9"/>
    <n v="29"/>
    <x v="1"/>
  </r>
  <r>
    <n v="43251240742"/>
    <s v="Rita Costa"/>
    <x v="1"/>
    <x v="0"/>
    <s v="Economia"/>
    <x v="0"/>
    <d v="1974-09-13T00:00:00"/>
    <x v="0"/>
    <x v="2"/>
    <n v="9.9"/>
    <n v="49"/>
    <x v="2"/>
  </r>
  <r>
    <n v="43251978310"/>
    <s v="Serenity Morris"/>
    <x v="0"/>
    <x v="1"/>
    <s v="Economia"/>
    <x v="0"/>
    <d v="1975-03-13T00:00:00"/>
    <x v="0"/>
    <x v="1"/>
    <n v="35.9"/>
    <n v="49"/>
    <x v="2"/>
  </r>
  <r>
    <n v="43308815311"/>
    <s v="Amanda Oliveira"/>
    <x v="1"/>
    <x v="4"/>
    <s v="Negócios"/>
    <x v="0"/>
    <d v="1961-08-24T00:00:00"/>
    <x v="0"/>
    <x v="2"/>
    <n v="9.9"/>
    <n v="62"/>
    <x v="0"/>
  </r>
  <r>
    <n v="43329901726"/>
    <s v="Rodrigo Torres"/>
    <x v="0"/>
    <x v="0"/>
    <s v="Economia"/>
    <x v="0"/>
    <d v="1967-03-06T00:00:00"/>
    <x v="0"/>
    <x v="2"/>
    <n v="9.9"/>
    <n v="57"/>
    <x v="0"/>
  </r>
  <r>
    <n v="43349394419"/>
    <s v="Mia Thomas"/>
    <x v="1"/>
    <x v="1"/>
    <s v="Negócios"/>
    <x v="0"/>
    <d v="1959-10-01T00:00:00"/>
    <x v="1"/>
    <x v="0"/>
    <n v="29.9"/>
    <n v="64"/>
    <x v="0"/>
  </r>
  <r>
    <n v="43353453212"/>
    <s v="Valeria Pena"/>
    <x v="1"/>
    <x v="1"/>
    <s v="Finanças"/>
    <x v="1"/>
    <d v="1960-02-24T00:00:00"/>
    <x v="2"/>
    <x v="2"/>
    <n v="9.9"/>
    <n v="64"/>
    <x v="0"/>
  </r>
  <r>
    <n v="43449469621"/>
    <s v="William Oliveira"/>
    <x v="0"/>
    <x v="1"/>
    <s v="Finanças"/>
    <x v="1"/>
    <d v="1970-06-04T00:00:00"/>
    <x v="3"/>
    <x v="0"/>
    <n v="29.9"/>
    <n v="53"/>
    <x v="2"/>
  </r>
  <r>
    <n v="43512417125"/>
    <s v="Patrícia Costa"/>
    <x v="1"/>
    <x v="1"/>
    <s v="Negócios"/>
    <x v="0"/>
    <d v="1972-01-02T00:00:00"/>
    <x v="3"/>
    <x v="0"/>
    <n v="29.9"/>
    <n v="52"/>
    <x v="2"/>
  </r>
  <r>
    <n v="43690634952"/>
    <s v="Vilma Silva"/>
    <x v="1"/>
    <x v="3"/>
    <s v="Negócios"/>
    <x v="0"/>
    <d v="1957-06-07T00:00:00"/>
    <x v="3"/>
    <x v="0"/>
    <n v="29.9"/>
    <n v="66"/>
    <x v="0"/>
  </r>
  <r>
    <n v="43739297869"/>
    <s v="Rodrigo Oliveira Mendes"/>
    <x v="0"/>
    <x v="1"/>
    <s v="Economia"/>
    <x v="2"/>
    <d v="1993-09-26T00:00:00"/>
    <x v="3"/>
    <x v="2"/>
    <n v="9.9"/>
    <n v="30"/>
    <x v="1"/>
  </r>
  <r>
    <n v="43743382226"/>
    <s v="Natalia Jimenez"/>
    <x v="1"/>
    <x v="0"/>
    <s v="Economia"/>
    <x v="0"/>
    <d v="1990-07-28T00:00:00"/>
    <x v="3"/>
    <x v="0"/>
    <n v="29.9"/>
    <n v="33"/>
    <x v="1"/>
  </r>
  <r>
    <n v="43809437545"/>
    <s v="Claire Long"/>
    <x v="1"/>
    <x v="0"/>
    <s v="Economia"/>
    <x v="0"/>
    <d v="1973-03-24T00:00:00"/>
    <x v="3"/>
    <x v="1"/>
    <n v="35.9"/>
    <n v="51"/>
    <x v="2"/>
  </r>
  <r>
    <n v="43862516707"/>
    <s v="Abigail Clark"/>
    <x v="0"/>
    <x v="0"/>
    <s v="Agronegócio"/>
    <x v="0"/>
    <d v="1969-07-20T00:00:00"/>
    <x v="4"/>
    <x v="2"/>
    <n v="9.9"/>
    <n v="54"/>
    <x v="0"/>
  </r>
  <r>
    <n v="43865627349"/>
    <s v="Carolina Lima"/>
    <x v="1"/>
    <x v="0"/>
    <s v="Negócios"/>
    <x v="1"/>
    <d v="1981-10-16T00:00:00"/>
    <x v="0"/>
    <x v="2"/>
    <n v="9.9"/>
    <n v="42"/>
    <x v="3"/>
  </r>
  <r>
    <n v="43955177890"/>
    <s v="Renata Martins"/>
    <x v="1"/>
    <x v="1"/>
    <s v="Economia"/>
    <x v="0"/>
    <d v="1975-06-20T00:00:00"/>
    <x v="0"/>
    <x v="2"/>
    <n v="9.9"/>
    <n v="48"/>
    <x v="2"/>
  </r>
  <r>
    <n v="43990474257"/>
    <s v="Bruno Almeida"/>
    <x v="0"/>
    <x v="3"/>
    <s v="Economia"/>
    <x v="2"/>
    <d v="1978-09-17T00:00:00"/>
    <x v="0"/>
    <x v="0"/>
    <n v="29.9"/>
    <n v="45"/>
    <x v="2"/>
  </r>
  <r>
    <n v="44079062916"/>
    <s v="Ruby Perry"/>
    <x v="0"/>
    <x v="3"/>
    <s v="Esportes"/>
    <x v="0"/>
    <d v="1984-05-14T00:00:00"/>
    <x v="0"/>
    <x v="0"/>
    <n v="29.9"/>
    <n v="40"/>
    <x v="3"/>
  </r>
  <r>
    <n v="44113863787"/>
    <s v="Paula Rojas"/>
    <x v="1"/>
    <x v="1"/>
    <s v="Agronegócio"/>
    <x v="2"/>
    <d v="1971-03-29T00:00:00"/>
    <x v="0"/>
    <x v="3"/>
    <n v="79.900000000000006"/>
    <n v="53"/>
    <x v="2"/>
  </r>
  <r>
    <n v="44133248813"/>
    <s v="Rafael Oliveira"/>
    <x v="0"/>
    <x v="1"/>
    <s v="Negócios"/>
    <x v="1"/>
    <d v="1987-03-15T00:00:00"/>
    <x v="5"/>
    <x v="1"/>
    <n v="35.9"/>
    <n v="37"/>
    <x v="3"/>
  </r>
  <r>
    <n v="44417946805"/>
    <s v="Rylee Fisher"/>
    <x v="0"/>
    <x v="1"/>
    <s v="Agronegócio"/>
    <x v="2"/>
    <d v="1977-02-21T00:00:00"/>
    <x v="1"/>
    <x v="1"/>
    <n v="35.9"/>
    <n v="47"/>
    <x v="2"/>
  </r>
  <r>
    <n v="44517150220"/>
    <s v="Carolina Gomes"/>
    <x v="1"/>
    <x v="0"/>
    <s v="Negócios"/>
    <x v="1"/>
    <d v="1990-05-01T00:00:00"/>
    <x v="6"/>
    <x v="3"/>
    <n v="79.900000000000006"/>
    <n v="34"/>
    <x v="1"/>
  </r>
  <r>
    <n v="44641671343"/>
    <s v="Dominic Murphy"/>
    <x v="0"/>
    <x v="1"/>
    <s v="Finanças"/>
    <x v="1"/>
    <d v="1975-06-04T00:00:00"/>
    <x v="2"/>
    <x v="2"/>
    <n v="9.9"/>
    <n v="48"/>
    <x v="2"/>
  </r>
  <r>
    <n v="44675229890"/>
    <s v="Mariana Souza Oliveira"/>
    <x v="1"/>
    <x v="3"/>
    <s v="Política"/>
    <x v="2"/>
    <d v="1985-09-18T00:00:00"/>
    <x v="7"/>
    <x v="3"/>
    <n v="79.900000000000006"/>
    <n v="38"/>
    <x v="3"/>
  </r>
  <r>
    <n v="44780102027"/>
    <s v="Ana Karen Pacheco"/>
    <x v="1"/>
    <x v="2"/>
    <s v="Negócios"/>
    <x v="1"/>
    <d v="1987-12-12T00:00:00"/>
    <x v="5"/>
    <x v="2"/>
    <n v="9.9"/>
    <n v="36"/>
    <x v="3"/>
  </r>
  <r>
    <n v="44780432801"/>
    <s v="Mariana Velazquez"/>
    <x v="1"/>
    <x v="1"/>
    <s v="Política"/>
    <x v="1"/>
    <d v="1992-03-09T00:00:00"/>
    <x v="4"/>
    <x v="3"/>
    <n v="79.900000000000006"/>
    <n v="32"/>
    <x v="1"/>
  </r>
  <r>
    <n v="44873409921"/>
    <s v="Mariana Gomes"/>
    <x v="1"/>
    <x v="0"/>
    <s v="Economia"/>
    <x v="1"/>
    <d v="1984-12-24T00:00:00"/>
    <x v="3"/>
    <x v="0"/>
    <n v="29.9"/>
    <n v="39"/>
    <x v="3"/>
  </r>
  <r>
    <n v="44968480072"/>
    <s v="Bruno Costa"/>
    <x v="0"/>
    <x v="1"/>
    <s v="Economia"/>
    <x v="2"/>
    <d v="1982-11-24T00:00:00"/>
    <x v="5"/>
    <x v="0"/>
    <n v="29.9"/>
    <n v="41"/>
    <x v="3"/>
  </r>
  <r>
    <n v="45034419141"/>
    <s v="Maria Santos"/>
    <x v="1"/>
    <x v="0"/>
    <s v="Política"/>
    <x v="0"/>
    <d v="1961-08-12T00:00:00"/>
    <x v="4"/>
    <x v="3"/>
    <n v="79.900000000000006"/>
    <n v="62"/>
    <x v="0"/>
  </r>
  <r>
    <n v="45125322860"/>
    <s v="William Pereira"/>
    <x v="0"/>
    <x v="1"/>
    <s v="Finanças"/>
    <x v="1"/>
    <d v="1986-05-20T00:00:00"/>
    <x v="3"/>
    <x v="2"/>
    <n v="9.9"/>
    <n v="37"/>
    <x v="3"/>
  </r>
  <r>
    <n v="45190223661"/>
    <s v="Vanessa Sosa"/>
    <x v="1"/>
    <x v="0"/>
    <s v="Finanças"/>
    <x v="0"/>
    <d v="1967-07-04T00:00:00"/>
    <x v="0"/>
    <x v="0"/>
    <n v="29.9"/>
    <n v="56"/>
    <x v="0"/>
  </r>
  <r>
    <n v="45305541903"/>
    <s v="Emerson Pereira"/>
    <x v="0"/>
    <x v="0"/>
    <s v="Política"/>
    <x v="0"/>
    <d v="1966-10-02T00:00:00"/>
    <x v="0"/>
    <x v="3"/>
    <n v="79.900000000000006"/>
    <n v="57"/>
    <x v="0"/>
  </r>
  <r>
    <n v="45344898195"/>
    <s v="Mario Aguilar"/>
    <x v="0"/>
    <x v="0"/>
    <s v="Negócios"/>
    <x v="1"/>
    <d v="1993-09-03T00:00:00"/>
    <x v="0"/>
    <x v="3"/>
    <n v="79.900000000000006"/>
    <n v="30"/>
    <x v="1"/>
  </r>
  <r>
    <n v="45398267634"/>
    <s v="Gabriella Price"/>
    <x v="1"/>
    <x v="1"/>
    <s v="Agronegócio"/>
    <x v="0"/>
    <d v="1994-01-04T00:00:00"/>
    <x v="0"/>
    <x v="2"/>
    <n v="9.9"/>
    <n v="30"/>
    <x v="1"/>
  </r>
  <r>
    <n v="45551104001"/>
    <s v="Eduardo Nunez"/>
    <x v="0"/>
    <x v="1"/>
    <s v="Negócios"/>
    <x v="1"/>
    <d v="1959-03-06T00:00:00"/>
    <x v="0"/>
    <x v="2"/>
    <n v="9.9"/>
    <n v="65"/>
    <x v="0"/>
  </r>
  <r>
    <n v="45591421429"/>
    <s v="Oscar Cisneros"/>
    <x v="0"/>
    <x v="3"/>
    <s v="Política"/>
    <x v="2"/>
    <d v="1981-11-16T00:00:00"/>
    <x v="0"/>
    <x v="3"/>
    <n v="79.900000000000006"/>
    <n v="42"/>
    <x v="3"/>
  </r>
  <r>
    <n v="45665433109"/>
    <s v="Gabriel Lima Almeida"/>
    <x v="0"/>
    <x v="1"/>
    <s v="Agronegócio"/>
    <x v="2"/>
    <d v="1980-10-05T00:00:00"/>
    <x v="0"/>
    <x v="2"/>
    <n v="9.9"/>
    <n v="43"/>
    <x v="3"/>
  </r>
  <r>
    <n v="45682920544"/>
    <s v="Charlotte Robinson"/>
    <x v="1"/>
    <x v="1"/>
    <s v="Economia"/>
    <x v="2"/>
    <d v="1989-06-20T00:00:00"/>
    <x v="0"/>
    <x v="1"/>
    <n v="35.9"/>
    <n v="34"/>
    <x v="1"/>
  </r>
  <r>
    <n v="45709208362"/>
    <s v="Sandra Silva"/>
    <x v="1"/>
    <x v="3"/>
    <s v="Economia"/>
    <x v="0"/>
    <d v="1961-12-16T00:00:00"/>
    <x v="0"/>
    <x v="2"/>
    <n v="9.9"/>
    <n v="62"/>
    <x v="0"/>
  </r>
  <r>
    <n v="45881940290"/>
    <s v="Sandra Martins"/>
    <x v="1"/>
    <x v="0"/>
    <s v="Esportes"/>
    <x v="0"/>
    <d v="1987-12-31T00:00:00"/>
    <x v="1"/>
    <x v="2"/>
    <n v="9.9"/>
    <n v="36"/>
    <x v="3"/>
  </r>
  <r>
    <n v="45892038935"/>
    <s v="Camila Torres"/>
    <x v="1"/>
    <x v="1"/>
    <s v="Economia"/>
    <x v="0"/>
    <d v="1982-01-24T00:00:00"/>
    <x v="2"/>
    <x v="1"/>
    <n v="35.9"/>
    <n v="42"/>
    <x v="3"/>
  </r>
  <r>
    <n v="45953823152"/>
    <s v="Vilma Costa"/>
    <x v="1"/>
    <x v="0"/>
    <s v="Economia"/>
    <x v="0"/>
    <d v="1963-05-29T00:00:00"/>
    <x v="3"/>
    <x v="1"/>
    <n v="35.9"/>
    <n v="60"/>
    <x v="0"/>
  </r>
  <r>
    <n v="45961352404"/>
    <s v="Juan Carlos Espinoza"/>
    <x v="0"/>
    <x v="0"/>
    <s v="Esportes"/>
    <x v="0"/>
    <d v="1984-03-29T00:00:00"/>
    <x v="3"/>
    <x v="0"/>
    <n v="29.9"/>
    <n v="40"/>
    <x v="3"/>
  </r>
  <r>
    <n v="46126747412"/>
    <s v="Renata Silva"/>
    <x v="1"/>
    <x v="3"/>
    <s v="Esportes"/>
    <x v="0"/>
    <d v="1962-06-30T00:00:00"/>
    <x v="3"/>
    <x v="2"/>
    <n v="9.9"/>
    <n v="61"/>
    <x v="0"/>
  </r>
  <r>
    <n v="46157189382"/>
    <s v="Eli Parker"/>
    <x v="0"/>
    <x v="1"/>
    <s v="Negócios"/>
    <x v="1"/>
    <d v="1970-11-04T00:00:00"/>
    <x v="3"/>
    <x v="3"/>
    <n v="79.900000000000006"/>
    <n v="53"/>
    <x v="2"/>
  </r>
  <r>
    <n v="46205324892"/>
    <s v="Isabela Martins"/>
    <x v="1"/>
    <x v="3"/>
    <s v="Economia"/>
    <x v="2"/>
    <d v="1968-09-18T00:00:00"/>
    <x v="3"/>
    <x v="0"/>
    <n v="29.9"/>
    <n v="55"/>
    <x v="0"/>
  </r>
  <r>
    <n v="46222211142"/>
    <s v="Jorge Hernandez"/>
    <x v="0"/>
    <x v="0"/>
    <s v="Agronegócio"/>
    <x v="2"/>
    <d v="1958-01-28T00:00:00"/>
    <x v="3"/>
    <x v="3"/>
    <n v="79.900000000000006"/>
    <n v="66"/>
    <x v="0"/>
  </r>
  <r>
    <n v="46344330480"/>
    <s v="Roberto Fuentes"/>
    <x v="0"/>
    <x v="2"/>
    <s v="Negócios"/>
    <x v="0"/>
    <d v="1993-04-24T00:00:00"/>
    <x v="4"/>
    <x v="2"/>
    <n v="9.9"/>
    <n v="31"/>
    <x v="1"/>
  </r>
  <r>
    <n v="46353055602"/>
    <s v="Emilio Sandoval"/>
    <x v="0"/>
    <x v="1"/>
    <s v="Economia"/>
    <x v="2"/>
    <d v="1962-06-18T00:00:00"/>
    <x v="0"/>
    <x v="1"/>
    <n v="35.9"/>
    <n v="61"/>
    <x v="0"/>
  </r>
  <r>
    <n v="46354255833"/>
    <s v="Fernanda Roman"/>
    <x v="1"/>
    <x v="3"/>
    <s v="Negócios"/>
    <x v="0"/>
    <d v="1972-02-11T00:00:00"/>
    <x v="0"/>
    <x v="0"/>
    <n v="29.9"/>
    <n v="52"/>
    <x v="2"/>
  </r>
  <r>
    <n v="46370856674"/>
    <s v="Valentina Rodriguez"/>
    <x v="1"/>
    <x v="3"/>
    <s v="Agronegócio"/>
    <x v="0"/>
    <d v="1973-02-15T00:00:00"/>
    <x v="0"/>
    <x v="3"/>
    <n v="79.900000000000006"/>
    <n v="51"/>
    <x v="2"/>
  </r>
  <r>
    <n v="46447828715"/>
    <s v="Miguel Angel Gonzalez"/>
    <x v="0"/>
    <x v="1"/>
    <s v="Economia"/>
    <x v="0"/>
    <d v="1985-11-20T00:00:00"/>
    <x v="0"/>
    <x v="0"/>
    <n v="29.9"/>
    <n v="38"/>
    <x v="3"/>
  </r>
  <r>
    <n v="46483232083"/>
    <s v="Alejandro Mendoza"/>
    <x v="0"/>
    <x v="1"/>
    <s v="Economia"/>
    <x v="0"/>
    <d v="1969-02-19T00:00:00"/>
    <x v="0"/>
    <x v="1"/>
    <n v="35.9"/>
    <n v="55"/>
    <x v="0"/>
  </r>
  <r>
    <n v="46533166609"/>
    <s v="Maya Watson"/>
    <x v="0"/>
    <x v="1"/>
    <s v="Agronegócio"/>
    <x v="2"/>
    <d v="1992-06-10T00:00:00"/>
    <x v="5"/>
    <x v="2"/>
    <n v="9.9"/>
    <n v="31"/>
    <x v="1"/>
  </r>
  <r>
    <n v="46593413625"/>
    <s v="Isabela Carvalho"/>
    <x v="1"/>
    <x v="1"/>
    <s v="Política"/>
    <x v="1"/>
    <d v="1986-03-07T00:00:00"/>
    <x v="1"/>
    <x v="3"/>
    <n v="79.900000000000006"/>
    <n v="38"/>
    <x v="3"/>
  </r>
  <r>
    <n v="46610379858"/>
    <s v="Pedro Fernandes"/>
    <x v="0"/>
    <x v="1"/>
    <s v="Economia"/>
    <x v="0"/>
    <d v="1962-10-13T00:00:00"/>
    <x v="6"/>
    <x v="2"/>
    <n v="9.9"/>
    <n v="61"/>
    <x v="0"/>
  </r>
  <r>
    <n v="46621773048"/>
    <s v="Arturo Leon"/>
    <x v="0"/>
    <x v="3"/>
    <s v="Agronegócio"/>
    <x v="1"/>
    <d v="1964-11-28T00:00:00"/>
    <x v="2"/>
    <x v="2"/>
    <n v="9.9"/>
    <n v="59"/>
    <x v="0"/>
  </r>
  <r>
    <n v="46741073132"/>
    <s v="Oscar Ruiz"/>
    <x v="0"/>
    <x v="3"/>
    <s v="Esportes"/>
    <x v="0"/>
    <d v="1978-09-16T00:00:00"/>
    <x v="7"/>
    <x v="2"/>
    <n v="9.9"/>
    <n v="45"/>
    <x v="2"/>
  </r>
  <r>
    <n v="46800162766"/>
    <s v="Camila Oliveira"/>
    <x v="1"/>
    <x v="0"/>
    <s v="Finanças"/>
    <x v="0"/>
    <d v="1981-05-02T00:00:00"/>
    <x v="5"/>
    <x v="0"/>
    <n v="29.9"/>
    <n v="43"/>
    <x v="3"/>
  </r>
  <r>
    <n v="46858118798"/>
    <s v="William Almeida"/>
    <x v="0"/>
    <x v="3"/>
    <s v="Negócios"/>
    <x v="0"/>
    <d v="1956-10-13T00:00:00"/>
    <x v="4"/>
    <x v="2"/>
    <n v="9.9"/>
    <n v="67"/>
    <x v="0"/>
  </r>
  <r>
    <n v="46884175269"/>
    <s v="Marcelo Martins"/>
    <x v="0"/>
    <x v="0"/>
    <s v="Economia"/>
    <x v="1"/>
    <d v="1961-07-18T00:00:00"/>
    <x v="3"/>
    <x v="0"/>
    <n v="29.9"/>
    <n v="62"/>
    <x v="0"/>
  </r>
  <r>
    <n v="47005649054"/>
    <s v="Elena Morales"/>
    <x v="1"/>
    <x v="3"/>
    <s v="Economia"/>
    <x v="2"/>
    <d v="1978-12-18T00:00:00"/>
    <x v="5"/>
    <x v="1"/>
    <n v="35.9"/>
    <n v="45"/>
    <x v="2"/>
  </r>
  <r>
    <n v="47007221276"/>
    <s v="Felipe Alves"/>
    <x v="0"/>
    <x v="3"/>
    <s v="Economia"/>
    <x v="1"/>
    <d v="1971-10-18T00:00:00"/>
    <x v="4"/>
    <x v="1"/>
    <n v="35.9"/>
    <n v="52"/>
    <x v="2"/>
  </r>
  <r>
    <n v="47042599063"/>
    <s v="Pedro Oliveira"/>
    <x v="0"/>
    <x v="3"/>
    <s v="Política"/>
    <x v="2"/>
    <d v="1992-11-08T00:00:00"/>
    <x v="3"/>
    <x v="3"/>
    <n v="79.900000000000006"/>
    <n v="31"/>
    <x v="1"/>
  </r>
  <r>
    <n v="47042740325"/>
    <s v="Levi Sanders"/>
    <x v="1"/>
    <x v="3"/>
    <s v="Finanças"/>
    <x v="0"/>
    <d v="1987-02-22T00:00:00"/>
    <x v="0"/>
    <x v="0"/>
    <n v="29.9"/>
    <n v="37"/>
    <x v="3"/>
  </r>
  <r>
    <n v="47129833052"/>
    <s v="Zachary Simmons"/>
    <x v="0"/>
    <x v="0"/>
    <s v="Negócios"/>
    <x v="1"/>
    <d v="1967-09-09T00:00:00"/>
    <x v="0"/>
    <x v="2"/>
    <n v="9.9"/>
    <n v="56"/>
    <x v="0"/>
  </r>
  <r>
    <n v="47153877700"/>
    <s v="Vilma Martins"/>
    <x v="1"/>
    <x v="1"/>
    <s v="Economia"/>
    <x v="0"/>
    <d v="1978-10-09T00:00:00"/>
    <x v="0"/>
    <x v="1"/>
    <n v="35.9"/>
    <n v="45"/>
    <x v="2"/>
  </r>
  <r>
    <n v="47174082747"/>
    <s v="Rafael Rodrigues"/>
    <x v="0"/>
    <x v="4"/>
    <s v="Finanças"/>
    <x v="0"/>
    <d v="1992-11-02T00:00:00"/>
    <x v="0"/>
    <x v="0"/>
    <n v="29.9"/>
    <n v="31"/>
    <x v="1"/>
  </r>
  <r>
    <n v="47188953731"/>
    <s v="Vilma Martins"/>
    <x v="1"/>
    <x v="1"/>
    <s v="Economia"/>
    <x v="0"/>
    <d v="1980-08-01T00:00:00"/>
    <x v="0"/>
    <x v="1"/>
    <n v="35.9"/>
    <n v="43"/>
    <x v="3"/>
  </r>
  <r>
    <n v="47208400662"/>
    <s v="Emerson Costa"/>
    <x v="0"/>
    <x v="2"/>
    <s v="Esportes"/>
    <x v="2"/>
    <d v="1978-02-28T00:00:00"/>
    <x v="0"/>
    <x v="2"/>
    <n v="9.9"/>
    <n v="46"/>
    <x v="2"/>
  </r>
  <r>
    <n v="47245946960"/>
    <s v="Bruno Pereira"/>
    <x v="0"/>
    <x v="3"/>
    <s v="Agronegócio"/>
    <x v="1"/>
    <d v="1980-05-11T00:00:00"/>
    <x v="0"/>
    <x v="2"/>
    <n v="9.9"/>
    <n v="44"/>
    <x v="2"/>
  </r>
  <r>
    <n v="47365199226"/>
    <s v="Daniel Baker"/>
    <x v="0"/>
    <x v="3"/>
    <s v="Negócios"/>
    <x v="2"/>
    <d v="1988-05-12T00:00:00"/>
    <x v="0"/>
    <x v="3"/>
    <n v="79.900000000000006"/>
    <n v="36"/>
    <x v="3"/>
  </r>
  <r>
    <n v="47372471507"/>
    <s v="Stella Ross"/>
    <x v="1"/>
    <x v="0"/>
    <s v="Agronegócio"/>
    <x v="2"/>
    <d v="1959-06-25T00:00:00"/>
    <x v="0"/>
    <x v="3"/>
    <n v="79.900000000000006"/>
    <n v="64"/>
    <x v="0"/>
  </r>
  <r>
    <n v="47393301586"/>
    <s v="Marcelo Pereira"/>
    <x v="0"/>
    <x v="1"/>
    <s v="Economia"/>
    <x v="2"/>
    <d v="1993-12-24T00:00:00"/>
    <x v="1"/>
    <x v="2"/>
    <n v="9.9"/>
    <n v="30"/>
    <x v="1"/>
  </r>
  <r>
    <n v="47497279533"/>
    <s v="Pedro Silva"/>
    <x v="0"/>
    <x v="1"/>
    <s v="Agronegócio"/>
    <x v="0"/>
    <d v="1985-05-08T00:00:00"/>
    <x v="2"/>
    <x v="3"/>
    <n v="79.900000000000006"/>
    <n v="39"/>
    <x v="3"/>
  </r>
  <r>
    <n v="47514609560"/>
    <s v="Manuel Jimenez"/>
    <x v="0"/>
    <x v="1"/>
    <s v="Negócios"/>
    <x v="1"/>
    <d v="1960-10-03T00:00:00"/>
    <x v="3"/>
    <x v="1"/>
    <n v="35.9"/>
    <n v="63"/>
    <x v="0"/>
  </r>
  <r>
    <n v="47564971365"/>
    <s v="Rafael Ferreira"/>
    <x v="0"/>
    <x v="1"/>
    <s v="Economia"/>
    <x v="2"/>
    <d v="1983-11-22T00:00:00"/>
    <x v="3"/>
    <x v="0"/>
    <n v="29.9"/>
    <n v="40"/>
    <x v="3"/>
  </r>
  <r>
    <n v="47725755906"/>
    <s v="Noah Jones"/>
    <x v="0"/>
    <x v="1"/>
    <s v="Finanças"/>
    <x v="0"/>
    <d v="1988-05-05T00:00:00"/>
    <x v="3"/>
    <x v="0"/>
    <n v="29.9"/>
    <n v="36"/>
    <x v="3"/>
  </r>
  <r>
    <n v="47745382527"/>
    <s v="Andrew Brooks"/>
    <x v="0"/>
    <x v="1"/>
    <s v="Negócios"/>
    <x v="0"/>
    <d v="1987-10-23T00:00:00"/>
    <x v="3"/>
    <x v="2"/>
    <n v="9.9"/>
    <n v="36"/>
    <x v="3"/>
  </r>
  <r>
    <n v="47840676137"/>
    <s v="Oscar Cisneros"/>
    <x v="0"/>
    <x v="3"/>
    <s v="Política"/>
    <x v="2"/>
    <d v="1965-05-02T00:00:00"/>
    <x v="3"/>
    <x v="3"/>
    <n v="79.900000000000006"/>
    <n v="59"/>
    <x v="0"/>
  </r>
  <r>
    <n v="47885298863"/>
    <s v="Mariana Ortiz"/>
    <x v="1"/>
    <x v="1"/>
    <s v="Economia"/>
    <x v="2"/>
    <d v="1970-12-05T00:00:00"/>
    <x v="3"/>
    <x v="2"/>
    <n v="9.9"/>
    <n v="53"/>
    <x v="2"/>
  </r>
  <r>
    <n v="47922430248"/>
    <s v="Pedro Fernandes"/>
    <x v="0"/>
    <x v="1"/>
    <s v="Economia"/>
    <x v="0"/>
    <d v="1967-04-16T00:00:00"/>
    <x v="4"/>
    <x v="2"/>
    <n v="9.9"/>
    <n v="57"/>
    <x v="0"/>
  </r>
  <r>
    <n v="47979032104"/>
    <s v="Renata Gomes"/>
    <x v="1"/>
    <x v="0"/>
    <s v="Economia"/>
    <x v="1"/>
    <d v="1970-12-07T00:00:00"/>
    <x v="0"/>
    <x v="0"/>
    <n v="29.9"/>
    <n v="53"/>
    <x v="2"/>
  </r>
  <r>
    <n v="48007068927"/>
    <s v="Carmen Guzman"/>
    <x v="1"/>
    <x v="3"/>
    <s v="Economia"/>
    <x v="1"/>
    <d v="1983-02-26T00:00:00"/>
    <x v="0"/>
    <x v="1"/>
    <n v="35.9"/>
    <n v="41"/>
    <x v="3"/>
  </r>
  <r>
    <n v="48217353343"/>
    <s v="Maria Fernanda Guerra"/>
    <x v="1"/>
    <x v="2"/>
    <s v="Negócios"/>
    <x v="0"/>
    <d v="1960-08-05T00:00:00"/>
    <x v="0"/>
    <x v="1"/>
    <n v="35.9"/>
    <n v="63"/>
    <x v="0"/>
  </r>
  <r>
    <n v="48338358825"/>
    <s v="Mariana Fernandes"/>
    <x v="1"/>
    <x v="0"/>
    <s v="Agronegócio"/>
    <x v="0"/>
    <d v="1989-03-11T00:00:00"/>
    <x v="0"/>
    <x v="2"/>
    <n v="9.9"/>
    <n v="35"/>
    <x v="3"/>
  </r>
  <r>
    <n v="48432971475"/>
    <s v="Beatriz Ramos"/>
    <x v="1"/>
    <x v="2"/>
    <s v="Finanças"/>
    <x v="0"/>
    <d v="1960-06-29T00:00:00"/>
    <x v="0"/>
    <x v="2"/>
    <n v="9.9"/>
    <n v="63"/>
    <x v="0"/>
  </r>
  <r>
    <n v="48460714260"/>
    <s v="Oliver Thompson"/>
    <x v="0"/>
    <x v="1"/>
    <s v="Negócios"/>
    <x v="1"/>
    <d v="1980-01-02T00:00:00"/>
    <x v="5"/>
    <x v="2"/>
    <n v="9.9"/>
    <n v="44"/>
    <x v="2"/>
  </r>
  <r>
    <n v="48465087625"/>
    <s v="Rafael Santos"/>
    <x v="0"/>
    <x v="0"/>
    <s v="Agronegócio"/>
    <x v="0"/>
    <d v="1990-10-02T00:00:00"/>
    <x v="1"/>
    <x v="1"/>
    <n v="35.9"/>
    <n v="33"/>
    <x v="1"/>
  </r>
  <r>
    <n v="48537217226"/>
    <s v="Marcos Barbosa"/>
    <x v="0"/>
    <x v="1"/>
    <s v="Agronegócio"/>
    <x v="2"/>
    <d v="1981-04-21T00:00:00"/>
    <x v="6"/>
    <x v="1"/>
    <n v="35.9"/>
    <n v="43"/>
    <x v="3"/>
  </r>
  <r>
    <n v="48554358741"/>
    <s v="Renata Martins"/>
    <x v="1"/>
    <x v="1"/>
    <s v="Economia"/>
    <x v="0"/>
    <d v="1967-02-11T00:00:00"/>
    <x v="2"/>
    <x v="2"/>
    <n v="9.9"/>
    <n v="57"/>
    <x v="0"/>
  </r>
  <r>
    <n v="48559982420"/>
    <s v="José Pereira"/>
    <x v="0"/>
    <x v="1"/>
    <s v="Economia"/>
    <x v="2"/>
    <d v="1965-01-27T00:00:00"/>
    <x v="7"/>
    <x v="2"/>
    <n v="9.9"/>
    <n v="59"/>
    <x v="0"/>
  </r>
  <r>
    <n v="48647651375"/>
    <s v="Lorena Paredes"/>
    <x v="1"/>
    <x v="0"/>
    <s v="Negócios"/>
    <x v="0"/>
    <d v="1960-06-05T00:00:00"/>
    <x v="5"/>
    <x v="2"/>
    <n v="9.9"/>
    <n v="63"/>
    <x v="0"/>
  </r>
  <r>
    <n v="48711816230"/>
    <s v="Renata Costa"/>
    <x v="1"/>
    <x v="0"/>
    <s v="Economia"/>
    <x v="0"/>
    <d v="1959-06-17T00:00:00"/>
    <x v="4"/>
    <x v="1"/>
    <n v="35.9"/>
    <n v="64"/>
    <x v="0"/>
  </r>
  <r>
    <n v="48816102229"/>
    <s v="Jose Luis Cardenas"/>
    <x v="0"/>
    <x v="1"/>
    <s v="Agronegócio"/>
    <x v="0"/>
    <d v="1980-04-28T00:00:00"/>
    <x v="3"/>
    <x v="1"/>
    <n v="35.9"/>
    <n v="44"/>
    <x v="2"/>
  </r>
  <r>
    <n v="48822792088"/>
    <s v="Luiz Rodrigues"/>
    <x v="0"/>
    <x v="1"/>
    <s v="Economia"/>
    <x v="0"/>
    <d v="1984-03-02T00:00:00"/>
    <x v="5"/>
    <x v="2"/>
    <n v="9.9"/>
    <n v="40"/>
    <x v="3"/>
  </r>
  <r>
    <n v="48910175046"/>
    <s v="Mariana Souza"/>
    <x v="1"/>
    <x v="0"/>
    <s v="Negócios"/>
    <x v="0"/>
    <d v="1960-05-03T00:00:00"/>
    <x v="4"/>
    <x v="1"/>
    <n v="35.9"/>
    <n v="64"/>
    <x v="0"/>
  </r>
  <r>
    <n v="48925097810"/>
    <s v="Emerson Santos"/>
    <x v="0"/>
    <x v="1"/>
    <s v="Economia"/>
    <x v="0"/>
    <d v="1959-09-10T00:00:00"/>
    <x v="3"/>
    <x v="0"/>
    <n v="29.9"/>
    <n v="64"/>
    <x v="0"/>
  </r>
  <r>
    <n v="49017327941"/>
    <s v="Eva Powell"/>
    <x v="1"/>
    <x v="0"/>
    <s v="Economia"/>
    <x v="2"/>
    <d v="1973-10-16T00:00:00"/>
    <x v="0"/>
    <x v="0"/>
    <n v="29.9"/>
    <n v="50"/>
    <x v="2"/>
  </r>
  <r>
    <n v="49141215224"/>
    <s v="William Costa"/>
    <x v="0"/>
    <x v="1"/>
    <s v="Economia"/>
    <x v="2"/>
    <d v="1955-06-11T00:00:00"/>
    <x v="0"/>
    <x v="1"/>
    <n v="35.9"/>
    <n v="68"/>
    <x v="0"/>
  </r>
  <r>
    <n v="49215142467"/>
    <s v="Silvia Navarro"/>
    <x v="1"/>
    <x v="3"/>
    <s v="Finanças"/>
    <x v="0"/>
    <d v="1988-01-12T00:00:00"/>
    <x v="0"/>
    <x v="0"/>
    <n v="29.9"/>
    <n v="36"/>
    <x v="3"/>
  </r>
  <r>
    <n v="49266952999"/>
    <s v="Sandra Rodrigues"/>
    <x v="1"/>
    <x v="3"/>
    <s v="Negócios"/>
    <x v="0"/>
    <d v="1978-06-24T00:00:00"/>
    <x v="0"/>
    <x v="1"/>
    <n v="35.9"/>
    <n v="45"/>
    <x v="2"/>
  </r>
  <r>
    <n v="49280389108"/>
    <s v="Isabel Ramos"/>
    <x v="1"/>
    <x v="1"/>
    <s v="Finanças"/>
    <x v="1"/>
    <d v="1957-04-09T00:00:00"/>
    <x v="0"/>
    <x v="0"/>
    <n v="29.9"/>
    <n v="67"/>
    <x v="0"/>
  </r>
  <r>
    <n v="49281927823"/>
    <s v="Patricia Fuentes"/>
    <x v="1"/>
    <x v="0"/>
    <s v="Política"/>
    <x v="1"/>
    <d v="1993-12-26T00:00:00"/>
    <x v="0"/>
    <x v="3"/>
    <n v="79.900000000000006"/>
    <n v="30"/>
    <x v="1"/>
  </r>
  <r>
    <n v="49300310285"/>
    <s v="Sophia Wilson"/>
    <x v="1"/>
    <x v="1"/>
    <s v="Agronegócio"/>
    <x v="2"/>
    <d v="1971-11-25T00:00:00"/>
    <x v="0"/>
    <x v="3"/>
    <n v="79.900000000000006"/>
    <n v="52"/>
    <x v="2"/>
  </r>
  <r>
    <n v="49307528124"/>
    <s v="Ana Ruiz"/>
    <x v="1"/>
    <x v="2"/>
    <s v="Agronegócio"/>
    <x v="2"/>
    <d v="1987-07-05T00:00:00"/>
    <x v="0"/>
    <x v="2"/>
    <n v="9.9"/>
    <n v="36"/>
    <x v="3"/>
  </r>
  <r>
    <n v="49328439074"/>
    <s v="Rodrigo Mora"/>
    <x v="0"/>
    <x v="2"/>
    <s v="Negócios"/>
    <x v="2"/>
    <d v="1983-02-14T00:00:00"/>
    <x v="0"/>
    <x v="0"/>
    <n v="29.9"/>
    <n v="41"/>
    <x v="3"/>
  </r>
  <r>
    <n v="49391829352"/>
    <s v="José Fernandes"/>
    <x v="0"/>
    <x v="1"/>
    <s v="Negócios"/>
    <x v="1"/>
    <d v="1982-06-20T00:00:00"/>
    <x v="1"/>
    <x v="1"/>
    <n v="35.9"/>
    <n v="41"/>
    <x v="3"/>
  </r>
  <r>
    <n v="49395647705"/>
    <s v="Liam Williams"/>
    <x v="0"/>
    <x v="0"/>
    <s v="Negócios"/>
    <x v="1"/>
    <d v="1990-03-13T00:00:00"/>
    <x v="2"/>
    <x v="3"/>
    <n v="79.900000000000006"/>
    <n v="34"/>
    <x v="1"/>
  </r>
  <r>
    <n v="49477339063"/>
    <s v="David Carter"/>
    <x v="0"/>
    <x v="2"/>
    <s v="Negócios"/>
    <x v="0"/>
    <d v="1965-10-17T00:00:00"/>
    <x v="3"/>
    <x v="0"/>
    <n v="29.9"/>
    <n v="58"/>
    <x v="0"/>
  </r>
  <r>
    <n v="49479547341"/>
    <s v="Vilma Gomes"/>
    <x v="1"/>
    <x v="0"/>
    <s v="Política"/>
    <x v="1"/>
    <d v="1963-09-08T00:00:00"/>
    <x v="3"/>
    <x v="3"/>
    <n v="79.900000000000006"/>
    <n v="60"/>
    <x v="0"/>
  </r>
  <r>
    <n v="49514272789"/>
    <s v="Eliza Hayes"/>
    <x v="1"/>
    <x v="0"/>
    <s v="Esportes"/>
    <x v="0"/>
    <d v="1975-08-20T00:00:00"/>
    <x v="3"/>
    <x v="2"/>
    <n v="9.9"/>
    <n v="48"/>
    <x v="2"/>
  </r>
  <r>
    <n v="49561602728"/>
    <s v="Renata Pereira"/>
    <x v="1"/>
    <x v="4"/>
    <s v="Negócios"/>
    <x v="0"/>
    <d v="1965-01-18T00:00:00"/>
    <x v="3"/>
    <x v="2"/>
    <n v="9.9"/>
    <n v="59"/>
    <x v="0"/>
  </r>
  <r>
    <n v="49609420133"/>
    <s v="Miguel Rivera"/>
    <x v="0"/>
    <x v="1"/>
    <s v="Agronegócio"/>
    <x v="0"/>
    <d v="1962-04-30T00:00:00"/>
    <x v="3"/>
    <x v="3"/>
    <n v="79.900000000000006"/>
    <n v="62"/>
    <x v="0"/>
  </r>
  <r>
    <n v="49615735146"/>
    <s v="Jorge Vazquez"/>
    <x v="0"/>
    <x v="0"/>
    <s v="Economia"/>
    <x v="0"/>
    <d v="1988-11-21T00:00:00"/>
    <x v="3"/>
    <x v="0"/>
    <n v="29.9"/>
    <n v="35"/>
    <x v="3"/>
  </r>
  <r>
    <n v="49708771068"/>
    <s v="Bernardo Martins"/>
    <x v="0"/>
    <x v="1"/>
    <s v="Negócios"/>
    <x v="1"/>
    <d v="1982-01-27T00:00:00"/>
    <x v="4"/>
    <x v="2"/>
    <n v="9.9"/>
    <n v="42"/>
    <x v="3"/>
  </r>
  <r>
    <n v="49733529074"/>
    <s v="Antônio Silva"/>
    <x v="0"/>
    <x v="0"/>
    <s v="Agronegócio"/>
    <x v="0"/>
    <d v="1980-12-23T00:00:00"/>
    <x v="0"/>
    <x v="3"/>
    <n v="79.900000000000006"/>
    <n v="43"/>
    <x v="3"/>
  </r>
  <r>
    <n v="49822462008"/>
    <s v="Salvador Bravo"/>
    <x v="0"/>
    <x v="3"/>
    <s v="Economia"/>
    <x v="2"/>
    <d v="1961-08-18T00:00:00"/>
    <x v="0"/>
    <x v="2"/>
    <n v="9.9"/>
    <n v="62"/>
    <x v="0"/>
  </r>
  <r>
    <n v="49859929846"/>
    <s v="Carlos Alberto Garcia"/>
    <x v="0"/>
    <x v="0"/>
    <s v="Economia"/>
    <x v="0"/>
    <d v="1991-08-18T00:00:00"/>
    <x v="0"/>
    <x v="2"/>
    <n v="9.9"/>
    <n v="32"/>
    <x v="1"/>
  </r>
  <r>
    <n v="49948498268"/>
    <s v="Bernardo Almeida"/>
    <x v="0"/>
    <x v="2"/>
    <s v="Finanças"/>
    <x v="0"/>
    <d v="1964-06-26T00:00:00"/>
    <x v="0"/>
    <x v="0"/>
    <n v="29.9"/>
    <n v="59"/>
    <x v="0"/>
  </r>
  <r>
    <n v="49996091120"/>
    <s v="Ricardo Navarro"/>
    <x v="0"/>
    <x v="1"/>
    <s v="Finanças"/>
    <x v="0"/>
    <d v="1955-12-12T00:00:00"/>
    <x v="0"/>
    <x v="0"/>
    <n v="29.9"/>
    <n v="68"/>
    <x v="0"/>
  </r>
  <r>
    <n v="50008008920"/>
    <s v="Victor Maldonado"/>
    <x v="0"/>
    <x v="0"/>
    <s v="Política"/>
    <x v="0"/>
    <d v="1961-03-15T00:00:00"/>
    <x v="5"/>
    <x v="3"/>
    <n v="79.900000000000006"/>
    <n v="63"/>
    <x v="0"/>
  </r>
  <r>
    <n v="50013996249"/>
    <s v="Sandra Pereira"/>
    <x v="1"/>
    <x v="0"/>
    <s v="Negócios"/>
    <x v="0"/>
    <d v="1968-02-04T00:00:00"/>
    <x v="1"/>
    <x v="3"/>
    <n v="79.900000000000006"/>
    <n v="56"/>
    <x v="0"/>
  </r>
  <r>
    <n v="50105898295"/>
    <s v="Bruno Oliveira"/>
    <x v="0"/>
    <x v="3"/>
    <s v="Agronegócio"/>
    <x v="1"/>
    <d v="1957-04-27T00:00:00"/>
    <x v="6"/>
    <x v="2"/>
    <n v="9.9"/>
    <n v="67"/>
    <x v="0"/>
  </r>
  <r>
    <n v="50108835505"/>
    <s v="William Silva"/>
    <x v="0"/>
    <x v="2"/>
    <s v="Negócios"/>
    <x v="2"/>
    <d v="1958-10-05T00:00:00"/>
    <x v="2"/>
    <x v="0"/>
    <n v="29.9"/>
    <n v="65"/>
    <x v="0"/>
  </r>
  <r>
    <n v="50125202242"/>
    <s v="José Martins"/>
    <x v="0"/>
    <x v="0"/>
    <s v="Negócios"/>
    <x v="1"/>
    <d v="1983-01-20T00:00:00"/>
    <x v="7"/>
    <x v="3"/>
    <n v="79.900000000000006"/>
    <n v="41"/>
    <x v="3"/>
  </r>
  <r>
    <n v="50213585733"/>
    <s v="Emiliano Acosta"/>
    <x v="0"/>
    <x v="1"/>
    <s v="Economia"/>
    <x v="0"/>
    <d v="1961-09-14T00:00:00"/>
    <x v="5"/>
    <x v="2"/>
    <n v="9.9"/>
    <n v="62"/>
    <x v="0"/>
  </r>
  <r>
    <n v="50296433971"/>
    <s v="Pedro Almeida"/>
    <x v="0"/>
    <x v="2"/>
    <s v="Finanças"/>
    <x v="0"/>
    <d v="1984-06-24T00:00:00"/>
    <x v="4"/>
    <x v="0"/>
    <n v="29.9"/>
    <n v="39"/>
    <x v="3"/>
  </r>
  <r>
    <n v="50331166214"/>
    <s v="Adrian Brooks"/>
    <x v="0"/>
    <x v="0"/>
    <s v="Negócios"/>
    <x v="0"/>
    <d v="1977-05-08T00:00:00"/>
    <x v="3"/>
    <x v="3"/>
    <n v="79.900000000000006"/>
    <n v="47"/>
    <x v="2"/>
  </r>
  <r>
    <n v="50356441737"/>
    <s v="Carolina Gomes"/>
    <x v="1"/>
    <x v="0"/>
    <s v="Negócios"/>
    <x v="1"/>
    <d v="1999-12-16T00:00:00"/>
    <x v="5"/>
    <x v="3"/>
    <n v="79.900000000000006"/>
    <n v="24"/>
    <x v="1"/>
  </r>
  <r>
    <n v="50376304529"/>
    <s v="Amanda Costa Almeida"/>
    <x v="1"/>
    <x v="0"/>
    <s v="Negócios"/>
    <x v="1"/>
    <d v="1955-03-10T00:00:00"/>
    <x v="4"/>
    <x v="2"/>
    <n v="9.9"/>
    <n v="69"/>
    <x v="0"/>
  </r>
  <r>
    <n v="50443594586"/>
    <s v="Ramon Flores"/>
    <x v="0"/>
    <x v="2"/>
    <s v="Esportes"/>
    <x v="2"/>
    <d v="1982-12-17T00:00:00"/>
    <x v="3"/>
    <x v="2"/>
    <n v="9.9"/>
    <n v="41"/>
    <x v="3"/>
  </r>
  <r>
    <n v="50628172347"/>
    <s v="Jesus Manuel Jimenez"/>
    <x v="0"/>
    <x v="0"/>
    <s v="Agronegócio"/>
    <x v="0"/>
    <d v="1987-05-02T00:00:00"/>
    <x v="0"/>
    <x v="3"/>
    <n v="79.900000000000006"/>
    <n v="37"/>
    <x v="3"/>
  </r>
  <r>
    <n v="50667919920"/>
    <s v="Hunter Sullivan"/>
    <x v="0"/>
    <x v="0"/>
    <s v="Economia"/>
    <x v="1"/>
    <d v="1981-06-06T00:00:00"/>
    <x v="0"/>
    <x v="0"/>
    <n v="29.9"/>
    <n v="42"/>
    <x v="3"/>
  </r>
  <r>
    <n v="50699518176"/>
    <s v="Juan Hernandez"/>
    <x v="0"/>
    <x v="0"/>
    <s v="Política"/>
    <x v="1"/>
    <d v="1989-04-10T00:00:00"/>
    <x v="0"/>
    <x v="3"/>
    <n v="79.900000000000006"/>
    <n v="35"/>
    <x v="3"/>
  </r>
  <r>
    <n v="50820733116"/>
    <s v="Joseph Perez"/>
    <x v="0"/>
    <x v="1"/>
    <s v="Finanças"/>
    <x v="1"/>
    <d v="1956-12-21T00:00:00"/>
    <x v="0"/>
    <x v="0"/>
    <n v="29.9"/>
    <n v="67"/>
    <x v="0"/>
  </r>
  <r>
    <n v="50850484107"/>
    <s v="Mayra Escobar"/>
    <x v="1"/>
    <x v="0"/>
    <s v="Economia"/>
    <x v="1"/>
    <d v="1988-12-10T00:00:00"/>
    <x v="0"/>
    <x v="0"/>
    <n v="29.9"/>
    <n v="35"/>
    <x v="3"/>
  </r>
  <r>
    <n v="51147741385"/>
    <s v="Renata Gomes"/>
    <x v="1"/>
    <x v="0"/>
    <s v="Economia"/>
    <x v="1"/>
    <d v="1986-01-08T00:00:00"/>
    <x v="0"/>
    <x v="0"/>
    <n v="29.9"/>
    <n v="38"/>
    <x v="3"/>
  </r>
  <r>
    <n v="51192158500"/>
    <s v="Jesus Castro"/>
    <x v="0"/>
    <x v="1"/>
    <s v="Política"/>
    <x v="1"/>
    <d v="1955-01-01T00:00:00"/>
    <x v="0"/>
    <x v="3"/>
    <n v="79.900000000000006"/>
    <n v="69"/>
    <x v="0"/>
  </r>
  <r>
    <n v="51204535285"/>
    <s v="Rita Silva"/>
    <x v="1"/>
    <x v="3"/>
    <s v="Agronegócio"/>
    <x v="0"/>
    <d v="1975-03-24T00:00:00"/>
    <x v="0"/>
    <x v="3"/>
    <n v="79.900000000000006"/>
    <n v="49"/>
    <x v="2"/>
  </r>
  <r>
    <n v="51230053057"/>
    <s v="Mariana Oliveira"/>
    <x v="1"/>
    <x v="1"/>
    <s v="Negócios"/>
    <x v="1"/>
    <d v="1985-01-25T00:00:00"/>
    <x v="0"/>
    <x v="2"/>
    <n v="9.9"/>
    <n v="39"/>
    <x v="3"/>
  </r>
  <r>
    <n v="51483423208"/>
    <s v="Vilma Rodrigues"/>
    <x v="1"/>
    <x v="3"/>
    <s v="Negócios"/>
    <x v="2"/>
    <d v="1994-08-16T00:00:00"/>
    <x v="1"/>
    <x v="2"/>
    <n v="9.9"/>
    <n v="29"/>
    <x v="1"/>
  </r>
  <r>
    <n v="51537734484"/>
    <s v="Pedro Pereira"/>
    <x v="0"/>
    <x v="2"/>
    <s v="Negócios"/>
    <x v="0"/>
    <d v="1961-04-21T00:00:00"/>
    <x v="2"/>
    <x v="2"/>
    <n v="9.9"/>
    <n v="63"/>
    <x v="0"/>
  </r>
  <r>
    <n v="51624291281"/>
    <s v="Sandra Santos"/>
    <x v="1"/>
    <x v="1"/>
    <s v="Agronegócio"/>
    <x v="0"/>
    <d v="1969-03-02T00:00:00"/>
    <x v="3"/>
    <x v="2"/>
    <n v="9.9"/>
    <n v="55"/>
    <x v="0"/>
  </r>
  <r>
    <n v="51629234687"/>
    <s v="Levi Sanders"/>
    <x v="1"/>
    <x v="3"/>
    <s v="Finanças"/>
    <x v="0"/>
    <d v="1970-06-16T00:00:00"/>
    <x v="3"/>
    <x v="0"/>
    <n v="29.9"/>
    <n v="53"/>
    <x v="2"/>
  </r>
  <r>
    <n v="51648535772"/>
    <s v="William Rodrigues"/>
    <x v="0"/>
    <x v="0"/>
    <s v="Negócios"/>
    <x v="0"/>
    <d v="1964-05-13T00:00:00"/>
    <x v="3"/>
    <x v="2"/>
    <n v="9.9"/>
    <n v="60"/>
    <x v="0"/>
  </r>
  <r>
    <n v="51676477218"/>
    <s v="Bruno Gomes"/>
    <x v="0"/>
    <x v="1"/>
    <s v="Esportes"/>
    <x v="0"/>
    <d v="1967-09-25T00:00:00"/>
    <x v="3"/>
    <x v="2"/>
    <n v="9.9"/>
    <n v="56"/>
    <x v="0"/>
  </r>
  <r>
    <n v="51680460346"/>
    <s v="Jackson Smith"/>
    <x v="0"/>
    <x v="1"/>
    <s v="Negócios"/>
    <x v="1"/>
    <d v="1989-11-01T00:00:00"/>
    <x v="3"/>
    <x v="1"/>
    <n v="35.9"/>
    <n v="34"/>
    <x v="1"/>
  </r>
  <r>
    <n v="51711010382"/>
    <s v="Pedro Martins"/>
    <x v="0"/>
    <x v="0"/>
    <s v="Finanças"/>
    <x v="1"/>
    <d v="1974-07-18T00:00:00"/>
    <x v="3"/>
    <x v="0"/>
    <n v="29.9"/>
    <n v="49"/>
    <x v="2"/>
  </r>
  <r>
    <n v="51769930316"/>
    <s v="Natalia Jimenez"/>
    <x v="1"/>
    <x v="0"/>
    <s v="Economia"/>
    <x v="0"/>
    <d v="1970-11-13T00:00:00"/>
    <x v="4"/>
    <x v="0"/>
    <n v="29.9"/>
    <n v="53"/>
    <x v="2"/>
  </r>
  <r>
    <n v="51789418350"/>
    <s v="Sergio Camacho"/>
    <x v="1"/>
    <x v="0"/>
    <s v="Negócios"/>
    <x v="0"/>
    <d v="1984-05-22T00:00:00"/>
    <x v="0"/>
    <x v="0"/>
    <n v="29.9"/>
    <n v="39"/>
    <x v="3"/>
  </r>
  <r>
    <n v="51815365690"/>
    <s v="William Pereira"/>
    <x v="0"/>
    <x v="1"/>
    <s v="Finanças"/>
    <x v="1"/>
    <d v="1963-06-14T00:00:00"/>
    <x v="0"/>
    <x v="2"/>
    <n v="9.9"/>
    <n v="60"/>
    <x v="0"/>
  </r>
  <r>
    <n v="51918800636"/>
    <s v="André Castro"/>
    <x v="0"/>
    <x v="1"/>
    <s v="Economia"/>
    <x v="0"/>
    <d v="1958-04-03T00:00:00"/>
    <x v="0"/>
    <x v="1"/>
    <n v="35.9"/>
    <n v="66"/>
    <x v="0"/>
  </r>
  <r>
    <n v="51958244063"/>
    <s v="Marcelo Pereira"/>
    <x v="0"/>
    <x v="1"/>
    <s v="Economia"/>
    <x v="2"/>
    <d v="1979-03-10T00:00:00"/>
    <x v="0"/>
    <x v="2"/>
    <n v="9.9"/>
    <n v="45"/>
    <x v="2"/>
  </r>
  <r>
    <n v="51993203545"/>
    <s v="Angelica Ibarra"/>
    <x v="1"/>
    <x v="3"/>
    <s v="Negócios"/>
    <x v="2"/>
    <d v="1969-03-23T00:00:00"/>
    <x v="0"/>
    <x v="3"/>
    <n v="79.900000000000006"/>
    <n v="55"/>
    <x v="0"/>
  </r>
  <r>
    <n v="52074827600"/>
    <s v="Layla Torres"/>
    <x v="1"/>
    <x v="3"/>
    <s v="Agronegócio"/>
    <x v="1"/>
    <d v="1959-01-05T00:00:00"/>
    <x v="5"/>
    <x v="2"/>
    <n v="9.9"/>
    <n v="65"/>
    <x v="0"/>
  </r>
  <r>
    <n v="52113552792"/>
    <s v="Alejandro Garcia"/>
    <x v="0"/>
    <x v="1"/>
    <s v="Finanças"/>
    <x v="1"/>
    <d v="1963-07-25T00:00:00"/>
    <x v="1"/>
    <x v="0"/>
    <n v="29.9"/>
    <n v="60"/>
    <x v="0"/>
  </r>
  <r>
    <n v="52125136892"/>
    <s v="Emerson Pereira"/>
    <x v="0"/>
    <x v="0"/>
    <s v="Política"/>
    <x v="0"/>
    <d v="1965-05-25T00:00:00"/>
    <x v="6"/>
    <x v="3"/>
    <n v="79.900000000000006"/>
    <n v="58"/>
    <x v="0"/>
  </r>
  <r>
    <n v="52171616989"/>
    <s v="John Cook"/>
    <x v="0"/>
    <x v="0"/>
    <s v="Negócios"/>
    <x v="0"/>
    <d v="1985-09-13T00:00:00"/>
    <x v="2"/>
    <x v="2"/>
    <n v="9.9"/>
    <n v="38"/>
    <x v="3"/>
  </r>
  <r>
    <n v="52175547539"/>
    <s v="Thiago Barbosa Santos"/>
    <x v="0"/>
    <x v="1"/>
    <s v="Economia"/>
    <x v="0"/>
    <d v="1986-09-20T00:00:00"/>
    <x v="7"/>
    <x v="2"/>
    <n v="9.9"/>
    <n v="37"/>
    <x v="3"/>
  </r>
  <r>
    <n v="52194876240"/>
    <s v="Bernardo Gomes"/>
    <x v="0"/>
    <x v="1"/>
    <s v="Economia"/>
    <x v="0"/>
    <d v="1991-04-13T00:00:00"/>
    <x v="5"/>
    <x v="1"/>
    <n v="35.9"/>
    <n v="33"/>
    <x v="1"/>
  </r>
  <r>
    <n v="52237008409"/>
    <s v="Rita Oliveira"/>
    <x v="1"/>
    <x v="1"/>
    <s v="Economia"/>
    <x v="0"/>
    <d v="1979-05-10T00:00:00"/>
    <x v="4"/>
    <x v="1"/>
    <n v="35.9"/>
    <n v="45"/>
    <x v="2"/>
  </r>
  <r>
    <n v="52262038971"/>
    <s v="Isabelle Howard"/>
    <x v="1"/>
    <x v="1"/>
    <s v="Esportes"/>
    <x v="2"/>
    <d v="1988-09-22T00:00:00"/>
    <x v="3"/>
    <x v="2"/>
    <n v="9.9"/>
    <n v="35"/>
    <x v="3"/>
  </r>
  <r>
    <n v="52272478127"/>
    <s v="Giovanna Oliveira Martins"/>
    <x v="1"/>
    <x v="0"/>
    <s v="Economia"/>
    <x v="1"/>
    <d v="1988-10-01T00:00:00"/>
    <x v="5"/>
    <x v="0"/>
    <n v="29.9"/>
    <n v="35"/>
    <x v="3"/>
  </r>
  <r>
    <n v="52340215967"/>
    <s v="Lucas Fernandes"/>
    <x v="0"/>
    <x v="1"/>
    <s v="Economia"/>
    <x v="0"/>
    <d v="1962-04-06T00:00:00"/>
    <x v="4"/>
    <x v="1"/>
    <n v="35.9"/>
    <n v="62"/>
    <x v="0"/>
  </r>
  <r>
    <n v="52456163228"/>
    <s v="Renata Santos"/>
    <x v="1"/>
    <x v="1"/>
    <s v="Finanças"/>
    <x v="1"/>
    <d v="1970-07-03T00:00:00"/>
    <x v="3"/>
    <x v="0"/>
    <n v="29.9"/>
    <n v="53"/>
    <x v="2"/>
  </r>
  <r>
    <n v="52607015603"/>
    <s v="Daniel Santos"/>
    <x v="0"/>
    <x v="0"/>
    <s v="Agronegócio"/>
    <x v="2"/>
    <d v="1976-03-11T00:00:00"/>
    <x v="0"/>
    <x v="3"/>
    <n v="79.900000000000006"/>
    <n v="48"/>
    <x v="2"/>
  </r>
  <r>
    <n v="52698133621"/>
    <s v="Felipe Pereira"/>
    <x v="0"/>
    <x v="0"/>
    <s v="Esportes"/>
    <x v="0"/>
    <d v="1992-03-05T00:00:00"/>
    <x v="0"/>
    <x v="2"/>
    <n v="9.9"/>
    <n v="32"/>
    <x v="1"/>
  </r>
  <r>
    <n v="52701318925"/>
    <s v="Charlotte Robinson"/>
    <x v="1"/>
    <x v="1"/>
    <s v="Economia"/>
    <x v="2"/>
    <d v="1975-09-21T00:00:00"/>
    <x v="0"/>
    <x v="1"/>
    <n v="35.9"/>
    <n v="48"/>
    <x v="2"/>
  </r>
  <r>
    <n v="52730416333"/>
    <s v="Ethan White"/>
    <x v="0"/>
    <x v="2"/>
    <s v="Negócios"/>
    <x v="0"/>
    <d v="1988-05-16T00:00:00"/>
    <x v="0"/>
    <x v="2"/>
    <n v="9.9"/>
    <n v="35"/>
    <x v="3"/>
  </r>
  <r>
    <n v="52741320194"/>
    <s v="Renata Silva"/>
    <x v="1"/>
    <x v="3"/>
    <s v="Esportes"/>
    <x v="0"/>
    <d v="1973-06-08T00:00:00"/>
    <x v="0"/>
    <x v="2"/>
    <n v="9.9"/>
    <n v="50"/>
    <x v="2"/>
  </r>
  <r>
    <n v="52803639273"/>
    <s v="Elena Cabrera"/>
    <x v="1"/>
    <x v="1"/>
    <s v="Economia"/>
    <x v="2"/>
    <d v="1989-03-09T00:00:00"/>
    <x v="0"/>
    <x v="1"/>
    <n v="35.9"/>
    <n v="35"/>
    <x v="3"/>
  </r>
  <r>
    <n v="52822338787"/>
    <s v="André Castro"/>
    <x v="0"/>
    <x v="1"/>
    <s v="Economia"/>
    <x v="0"/>
    <d v="1976-10-03T00:00:00"/>
    <x v="0"/>
    <x v="1"/>
    <n v="35.9"/>
    <n v="47"/>
    <x v="2"/>
  </r>
  <r>
    <n v="52838416344"/>
    <s v="Javier Diaz"/>
    <x v="0"/>
    <x v="3"/>
    <s v="Negócios"/>
    <x v="0"/>
    <d v="1957-01-23T00:00:00"/>
    <x v="0"/>
    <x v="2"/>
    <n v="9.9"/>
    <n v="67"/>
    <x v="0"/>
  </r>
  <r>
    <n v="52969912178"/>
    <s v="Emerson Almeida"/>
    <x v="0"/>
    <x v="1"/>
    <s v="Negócios"/>
    <x v="1"/>
    <d v="1978-04-06T00:00:00"/>
    <x v="0"/>
    <x v="3"/>
    <n v="79.900000000000006"/>
    <n v="46"/>
    <x v="2"/>
  </r>
  <r>
    <n v="53085921994"/>
    <s v="Juliana Santos"/>
    <x v="1"/>
    <x v="0"/>
    <s v="Política"/>
    <x v="1"/>
    <d v="1992-10-12T00:00:00"/>
    <x v="1"/>
    <x v="3"/>
    <n v="79.900000000000006"/>
    <n v="31"/>
    <x v="1"/>
  </r>
  <r>
    <n v="53104808484"/>
    <s v="Emerson Silva"/>
    <x v="0"/>
    <x v="3"/>
    <s v="Agronegócio"/>
    <x v="2"/>
    <d v="1994-09-16T00:00:00"/>
    <x v="2"/>
    <x v="1"/>
    <n v="35.9"/>
    <n v="29"/>
    <x v="1"/>
  </r>
  <r>
    <n v="53144306711"/>
    <s v="Lincoln Hughes"/>
    <x v="0"/>
    <x v="3"/>
    <s v="Política"/>
    <x v="2"/>
    <d v="1985-08-12T00:00:00"/>
    <x v="3"/>
    <x v="3"/>
    <n v="79.900000000000006"/>
    <n v="38"/>
    <x v="3"/>
  </r>
  <r>
    <n v="53226935462"/>
    <s v="Juliana Santos"/>
    <x v="1"/>
    <x v="0"/>
    <s v="Política"/>
    <x v="1"/>
    <d v="1962-01-07T00:00:00"/>
    <x v="3"/>
    <x v="3"/>
    <n v="79.900000000000006"/>
    <n v="62"/>
    <x v="0"/>
  </r>
  <r>
    <n v="53264395264"/>
    <s v="Cameron Coleman"/>
    <x v="0"/>
    <x v="1"/>
    <s v="Negócios"/>
    <x v="0"/>
    <d v="1975-04-21T00:00:00"/>
    <x v="3"/>
    <x v="2"/>
    <n v="9.9"/>
    <n v="49"/>
    <x v="2"/>
  </r>
  <r>
    <n v="53325037620"/>
    <s v="Mia Thomas"/>
    <x v="1"/>
    <x v="1"/>
    <s v="Negócios"/>
    <x v="0"/>
    <d v="1984-10-01T00:00:00"/>
    <x v="3"/>
    <x v="0"/>
    <n v="29.9"/>
    <n v="39"/>
    <x v="3"/>
  </r>
  <r>
    <n v="53398120004"/>
    <s v="Débora Martins"/>
    <x v="1"/>
    <x v="2"/>
    <s v="Negócios"/>
    <x v="0"/>
    <d v="1985-09-14T00:00:00"/>
    <x v="3"/>
    <x v="2"/>
    <n v="9.9"/>
    <n v="38"/>
    <x v="3"/>
  </r>
  <r>
    <n v="53544540367"/>
    <s v="Marisol Ponce"/>
    <x v="1"/>
    <x v="0"/>
    <s v="Política"/>
    <x v="1"/>
    <d v="1988-06-27T00:00:00"/>
    <x v="3"/>
    <x v="3"/>
    <n v="79.900000000000006"/>
    <n v="35"/>
    <x v="3"/>
  </r>
  <r>
    <n v="53556010406"/>
    <s v="Hazel Myers"/>
    <x v="1"/>
    <x v="1"/>
    <s v="Economia"/>
    <x v="0"/>
    <d v="1970-05-17T00:00:00"/>
    <x v="4"/>
    <x v="2"/>
    <n v="9.9"/>
    <n v="54"/>
    <x v="0"/>
  </r>
  <r>
    <n v="53620445355"/>
    <s v="Vilma Almeida"/>
    <x v="1"/>
    <x v="1"/>
    <s v="Negócios"/>
    <x v="0"/>
    <d v="1959-09-04T00:00:00"/>
    <x v="0"/>
    <x v="2"/>
    <n v="9.9"/>
    <n v="64"/>
    <x v="0"/>
  </r>
  <r>
    <n v="53634568625"/>
    <s v="William Allen"/>
    <x v="0"/>
    <x v="1"/>
    <s v="Negócios"/>
    <x v="1"/>
    <d v="1981-05-05T00:00:00"/>
    <x v="0"/>
    <x v="1"/>
    <n v="35.9"/>
    <n v="43"/>
    <x v="3"/>
  </r>
  <r>
    <n v="53741571286"/>
    <s v="Vanessa Costa"/>
    <x v="1"/>
    <x v="0"/>
    <s v="Política"/>
    <x v="1"/>
    <d v="1996-04-16T00:00:00"/>
    <x v="0"/>
    <x v="3"/>
    <n v="79.900000000000006"/>
    <n v="28"/>
    <x v="1"/>
  </r>
  <r>
    <n v="53837589861"/>
    <s v="Maria Alencar"/>
    <x v="1"/>
    <x v="0"/>
    <s v="Política"/>
    <x v="1"/>
    <d v="1984-02-21T00:00:00"/>
    <x v="0"/>
    <x v="3"/>
    <n v="79.900000000000006"/>
    <n v="40"/>
    <x v="3"/>
  </r>
  <r>
    <n v="53837650572"/>
    <s v="Gabriella Price"/>
    <x v="1"/>
    <x v="1"/>
    <s v="Agronegócio"/>
    <x v="0"/>
    <d v="1989-07-10T00:00:00"/>
    <x v="0"/>
    <x v="2"/>
    <n v="9.9"/>
    <n v="34"/>
    <x v="1"/>
  </r>
  <r>
    <n v="53842530303"/>
    <s v="Sandra Oliveira"/>
    <x v="1"/>
    <x v="2"/>
    <s v="Negócios"/>
    <x v="0"/>
    <d v="1994-01-12T00:00:00"/>
    <x v="5"/>
    <x v="2"/>
    <n v="9.9"/>
    <n v="30"/>
    <x v="1"/>
  </r>
  <r>
    <n v="53865937688"/>
    <s v="Beatriz Castro Oliveira"/>
    <x v="1"/>
    <x v="1"/>
    <s v="Negócios"/>
    <x v="1"/>
    <d v="1986-10-06T00:00:00"/>
    <x v="1"/>
    <x v="3"/>
    <n v="79.900000000000006"/>
    <n v="37"/>
    <x v="3"/>
  </r>
  <r>
    <n v="53921313520"/>
    <s v="José Alves"/>
    <x v="0"/>
    <x v="0"/>
    <s v="Economia"/>
    <x v="0"/>
    <d v="1982-11-12T00:00:00"/>
    <x v="6"/>
    <x v="0"/>
    <n v="29.9"/>
    <n v="41"/>
    <x v="3"/>
  </r>
  <r>
    <n v="53994694316"/>
    <s v="Sandra Fernandes"/>
    <x v="1"/>
    <x v="1"/>
    <s v="Agronegócio"/>
    <x v="2"/>
    <d v="1985-04-09T00:00:00"/>
    <x v="2"/>
    <x v="1"/>
    <n v="35.9"/>
    <n v="39"/>
    <x v="3"/>
  </r>
  <r>
    <n v="54171024069"/>
    <s v="Eduardo Rodrigues"/>
    <x v="0"/>
    <x v="1"/>
    <s v="Agronegócio"/>
    <x v="0"/>
    <d v="1973-09-28T00:00:00"/>
    <x v="7"/>
    <x v="2"/>
    <n v="9.9"/>
    <n v="50"/>
    <x v="2"/>
  </r>
  <r>
    <n v="54198810657"/>
    <s v="Jesus Martinez"/>
    <x v="0"/>
    <x v="1"/>
    <s v="Esportes"/>
    <x v="0"/>
    <d v="1995-05-09T00:00:00"/>
    <x v="5"/>
    <x v="2"/>
    <n v="9.9"/>
    <n v="29"/>
    <x v="1"/>
  </r>
  <r>
    <n v="54217073384"/>
    <s v="Júlia Martins"/>
    <x v="1"/>
    <x v="0"/>
    <s v="Finanças"/>
    <x v="1"/>
    <d v="1968-05-18T00:00:00"/>
    <x v="4"/>
    <x v="0"/>
    <n v="29.9"/>
    <n v="56"/>
    <x v="0"/>
  </r>
  <r>
    <n v="54339224143"/>
    <s v="Cecilia Morales"/>
    <x v="1"/>
    <x v="3"/>
    <s v="Economia"/>
    <x v="2"/>
    <d v="1961-09-30T00:00:00"/>
    <x v="3"/>
    <x v="0"/>
    <n v="29.9"/>
    <n v="62"/>
    <x v="0"/>
  </r>
  <r>
    <n v="54411067391"/>
    <s v="Beatriz Castro"/>
    <x v="1"/>
    <x v="3"/>
    <s v="Negócios"/>
    <x v="0"/>
    <d v="1985-01-10T00:00:00"/>
    <x v="5"/>
    <x v="0"/>
    <n v="29.9"/>
    <n v="39"/>
    <x v="3"/>
  </r>
  <r>
    <n v="54476634976"/>
    <s v="Vilma Fernandes"/>
    <x v="1"/>
    <x v="1"/>
    <s v="Esportes"/>
    <x v="2"/>
    <d v="1983-01-19T00:00:00"/>
    <x v="4"/>
    <x v="0"/>
    <n v="29.9"/>
    <n v="41"/>
    <x v="3"/>
  </r>
  <r>
    <n v="54506367236"/>
    <s v="Pedro Pereira"/>
    <x v="0"/>
    <x v="2"/>
    <s v="Negócios"/>
    <x v="0"/>
    <d v="1964-09-14T00:00:00"/>
    <x v="3"/>
    <x v="2"/>
    <n v="9.9"/>
    <n v="59"/>
    <x v="0"/>
  </r>
  <r>
    <n v="54526384776"/>
    <s v="Dominic Murphy"/>
    <x v="0"/>
    <x v="1"/>
    <s v="Finanças"/>
    <x v="1"/>
    <d v="1982-01-19T00:00:00"/>
    <x v="0"/>
    <x v="2"/>
    <n v="9.9"/>
    <n v="42"/>
    <x v="3"/>
  </r>
  <r>
    <n v="54711975966"/>
    <s v="Isaac Henderson"/>
    <x v="0"/>
    <x v="0"/>
    <s v="Finanças"/>
    <x v="0"/>
    <d v="1981-08-28T00:00:00"/>
    <x v="0"/>
    <x v="0"/>
    <n v="29.9"/>
    <n v="42"/>
    <x v="3"/>
  </r>
  <r>
    <n v="54742058650"/>
    <s v="Carlos Ferreira"/>
    <x v="0"/>
    <x v="3"/>
    <s v="Negócios"/>
    <x v="1"/>
    <d v="1970-10-05T00:00:00"/>
    <x v="0"/>
    <x v="0"/>
    <n v="29.9"/>
    <n v="53"/>
    <x v="2"/>
  </r>
  <r>
    <n v="54783687741"/>
    <s v="Bruno Pereira Rodrigues"/>
    <x v="0"/>
    <x v="1"/>
    <s v="Economia"/>
    <x v="0"/>
    <d v="1988-10-28T00:00:00"/>
    <x v="0"/>
    <x v="1"/>
    <n v="35.9"/>
    <n v="35"/>
    <x v="3"/>
  </r>
  <r>
    <n v="54799023278"/>
    <s v="Lorena Chavez"/>
    <x v="1"/>
    <x v="2"/>
    <s v="Negócios"/>
    <x v="0"/>
    <d v="1967-12-27T00:00:00"/>
    <x v="0"/>
    <x v="0"/>
    <n v="29.9"/>
    <n v="56"/>
    <x v="0"/>
  </r>
  <r>
    <n v="54839142796"/>
    <s v="Vilma Gomes"/>
    <x v="1"/>
    <x v="0"/>
    <s v="Política"/>
    <x v="1"/>
    <d v="1995-04-18T00:00:00"/>
    <x v="0"/>
    <x v="3"/>
    <n v="79.900000000000006"/>
    <n v="29"/>
    <x v="1"/>
  </r>
  <r>
    <n v="55064239822"/>
    <s v="Mariana Souza Oliveira"/>
    <x v="1"/>
    <x v="3"/>
    <s v="Política"/>
    <x v="2"/>
    <d v="1957-03-02T00:00:00"/>
    <x v="0"/>
    <x v="3"/>
    <n v="79.900000000000006"/>
    <n v="67"/>
    <x v="0"/>
  </r>
  <r>
    <n v="55151517281"/>
    <s v="Lucas Miller"/>
    <x v="0"/>
    <x v="3"/>
    <s v="Política"/>
    <x v="2"/>
    <d v="1989-04-30T00:00:00"/>
    <x v="0"/>
    <x v="3"/>
    <n v="79.900000000000006"/>
    <n v="35"/>
    <x v="3"/>
  </r>
  <r>
    <n v="55201624465"/>
    <s v="Elijah Hernandez"/>
    <x v="1"/>
    <x v="3"/>
    <s v="Finanças"/>
    <x v="0"/>
    <d v="1972-01-05T00:00:00"/>
    <x v="0"/>
    <x v="2"/>
    <n v="9.9"/>
    <n v="52"/>
    <x v="2"/>
  </r>
  <r>
    <n v="55228283525"/>
    <s v="Tristan Perry"/>
    <x v="0"/>
    <x v="3"/>
    <s v="Negócios"/>
    <x v="0"/>
    <d v="1971-01-21T00:00:00"/>
    <x v="1"/>
    <x v="1"/>
    <n v="35.9"/>
    <n v="53"/>
    <x v="2"/>
  </r>
  <r>
    <n v="55332904919"/>
    <s v="Valentina Rodriguez"/>
    <x v="1"/>
    <x v="3"/>
    <s v="Agronegócio"/>
    <x v="0"/>
    <d v="1977-11-12T00:00:00"/>
    <x v="2"/>
    <x v="3"/>
    <n v="79.900000000000006"/>
    <n v="46"/>
    <x v="2"/>
  </r>
  <r>
    <n v="55350189669"/>
    <s v="Lucia Sanchez"/>
    <x v="0"/>
    <x v="1"/>
    <s v="Negócios"/>
    <x v="2"/>
    <d v="1957-07-22T00:00:00"/>
    <x v="3"/>
    <x v="0"/>
    <n v="29.9"/>
    <n v="66"/>
    <x v="0"/>
  </r>
  <r>
    <n v="55359798830"/>
    <s v="Benjamin Vasquez"/>
    <x v="0"/>
    <x v="0"/>
    <s v="Economia"/>
    <x v="0"/>
    <d v="1981-07-03T00:00:00"/>
    <x v="3"/>
    <x v="1"/>
    <n v="35.9"/>
    <n v="42"/>
    <x v="3"/>
  </r>
  <r>
    <n v="55370247974"/>
    <s v="Owen Watson"/>
    <x v="0"/>
    <x v="1"/>
    <s v="Negócios"/>
    <x v="1"/>
    <d v="1960-05-15T00:00:00"/>
    <x v="3"/>
    <x v="2"/>
    <n v="9.9"/>
    <n v="64"/>
    <x v="0"/>
  </r>
  <r>
    <n v="55400526908"/>
    <s v="Débora Martins"/>
    <x v="1"/>
    <x v="2"/>
    <s v="Negócios"/>
    <x v="0"/>
    <d v="1986-12-07T00:00:00"/>
    <x v="3"/>
    <x v="2"/>
    <n v="9.9"/>
    <n v="37"/>
    <x v="3"/>
  </r>
  <r>
    <n v="55453919588"/>
    <s v="Gabriela Torres"/>
    <x v="1"/>
    <x v="2"/>
    <s v="Finanças"/>
    <x v="0"/>
    <d v="1972-11-22T00:00:00"/>
    <x v="3"/>
    <x v="0"/>
    <n v="29.9"/>
    <n v="51"/>
    <x v="2"/>
  </r>
  <r>
    <n v="55499979478"/>
    <s v="Carlos Ferreira"/>
    <x v="0"/>
    <x v="3"/>
    <s v="Negócios"/>
    <x v="1"/>
    <d v="1971-09-09T00:00:00"/>
    <x v="3"/>
    <x v="0"/>
    <n v="29.9"/>
    <n v="52"/>
    <x v="2"/>
  </r>
  <r>
    <n v="55539019573"/>
    <s v="Bernardo Santos"/>
    <x v="0"/>
    <x v="1"/>
    <s v="Política"/>
    <x v="1"/>
    <d v="1988-10-03T00:00:00"/>
    <x v="4"/>
    <x v="3"/>
    <n v="79.900000000000006"/>
    <n v="35"/>
    <x v="3"/>
  </r>
  <r>
    <n v="55899436458"/>
    <s v="Rafael Almeida"/>
    <x v="0"/>
    <x v="4"/>
    <s v="Negócios"/>
    <x v="2"/>
    <d v="1966-10-29T00:00:00"/>
    <x v="0"/>
    <x v="3"/>
    <n v="79.900000000000006"/>
    <n v="57"/>
    <x v="0"/>
  </r>
  <r>
    <n v="56102669696"/>
    <s v="Avery Roberts"/>
    <x v="1"/>
    <x v="2"/>
    <s v="Negócios"/>
    <x v="2"/>
    <d v="1978-02-02T00:00:00"/>
    <x v="0"/>
    <x v="0"/>
    <n v="29.9"/>
    <n v="46"/>
    <x v="2"/>
  </r>
  <r>
    <n v="56111428025"/>
    <s v="Madison Green"/>
    <x v="0"/>
    <x v="1"/>
    <s v="Agronegócio"/>
    <x v="0"/>
    <d v="1989-02-06T00:00:00"/>
    <x v="0"/>
    <x v="3"/>
    <n v="79.900000000000006"/>
    <n v="35"/>
    <x v="3"/>
  </r>
  <r>
    <n v="56167280623"/>
    <s v="Francisco Morales"/>
    <x v="0"/>
    <x v="4"/>
    <s v="Negócios"/>
    <x v="1"/>
    <d v="1993-04-20T00:00:00"/>
    <x v="0"/>
    <x v="1"/>
    <n v="35.9"/>
    <n v="31"/>
    <x v="1"/>
  </r>
  <r>
    <n v="56213600806"/>
    <s v="Joseph Perez"/>
    <x v="0"/>
    <x v="1"/>
    <s v="Finanças"/>
    <x v="1"/>
    <d v="1980-01-15T00:00:00"/>
    <x v="0"/>
    <x v="0"/>
    <n v="29.9"/>
    <n v="44"/>
    <x v="2"/>
  </r>
  <r>
    <n v="56688702646"/>
    <s v="Laura Ribeiro"/>
    <x v="1"/>
    <x v="4"/>
    <s v="Política"/>
    <x v="1"/>
    <d v="1964-01-07T00:00:00"/>
    <x v="5"/>
    <x v="3"/>
    <n v="79.900000000000006"/>
    <n v="60"/>
    <x v="0"/>
  </r>
  <r>
    <n v="56991862790"/>
    <s v="Nicholas Foster"/>
    <x v="0"/>
    <x v="2"/>
    <s v="Negócios"/>
    <x v="0"/>
    <d v="1987-11-07T00:00:00"/>
    <x v="1"/>
    <x v="2"/>
    <n v="9.9"/>
    <n v="36"/>
    <x v="3"/>
  </r>
  <r>
    <n v="57093446389"/>
    <s v="Beatriz Delgado"/>
    <x v="1"/>
    <x v="0"/>
    <s v="Esportes"/>
    <x v="2"/>
    <d v="1980-03-11T00:00:00"/>
    <x v="6"/>
    <x v="2"/>
    <n v="9.9"/>
    <n v="44"/>
    <x v="2"/>
  </r>
  <r>
    <n v="57248670590"/>
    <s v="Renata Fernandes"/>
    <x v="1"/>
    <x v="1"/>
    <s v="Agronegócio"/>
    <x v="2"/>
    <d v="1977-05-13T00:00:00"/>
    <x v="2"/>
    <x v="2"/>
    <n v="9.9"/>
    <n v="47"/>
    <x v="2"/>
  </r>
  <r>
    <n v="57304884506"/>
    <s v="Rodrigo Oliveira Mendes"/>
    <x v="0"/>
    <x v="1"/>
    <s v="Economia"/>
    <x v="2"/>
    <d v="1971-08-16T00:00:00"/>
    <x v="7"/>
    <x v="2"/>
    <n v="9.9"/>
    <n v="52"/>
    <x v="2"/>
  </r>
  <r>
    <n v="57327520985"/>
    <s v="Pedro Rodrigues"/>
    <x v="0"/>
    <x v="0"/>
    <s v="Economia"/>
    <x v="0"/>
    <d v="1988-11-04T00:00:00"/>
    <x v="5"/>
    <x v="2"/>
    <n v="9.9"/>
    <n v="35"/>
    <x v="3"/>
  </r>
  <r>
    <n v="57367066989"/>
    <s v="Jesus Castro"/>
    <x v="0"/>
    <x v="1"/>
    <s v="Política"/>
    <x v="1"/>
    <d v="1966-05-08T00:00:00"/>
    <x v="4"/>
    <x v="3"/>
    <n v="79.900000000000006"/>
    <n v="58"/>
    <x v="0"/>
  </r>
  <r>
    <n v="57379301258"/>
    <s v="Audrey Brooks"/>
    <x v="1"/>
    <x v="3"/>
    <s v="Agronegócio"/>
    <x v="2"/>
    <d v="1978-05-25T00:00:00"/>
    <x v="3"/>
    <x v="1"/>
    <n v="35.9"/>
    <n v="45"/>
    <x v="2"/>
  </r>
  <r>
    <n v="57464065635"/>
    <s v="Renata Santos"/>
    <x v="1"/>
    <x v="1"/>
    <s v="Finanças"/>
    <x v="1"/>
    <d v="1991-12-19T00:00:00"/>
    <x v="5"/>
    <x v="0"/>
    <n v="29.9"/>
    <n v="32"/>
    <x v="1"/>
  </r>
  <r>
    <n v="57592799094"/>
    <s v="Carlos Alberto Garcia"/>
    <x v="0"/>
    <x v="0"/>
    <s v="Economia"/>
    <x v="0"/>
    <d v="1978-11-19T00:00:00"/>
    <x v="4"/>
    <x v="2"/>
    <n v="9.9"/>
    <n v="45"/>
    <x v="2"/>
  </r>
  <r>
    <n v="57638196563"/>
    <s v="Fernanda Gomes"/>
    <x v="1"/>
    <x v="3"/>
    <s v="Negócios"/>
    <x v="2"/>
    <d v="1977-01-10T00:00:00"/>
    <x v="3"/>
    <x v="2"/>
    <n v="9.9"/>
    <n v="47"/>
    <x v="2"/>
  </r>
  <r>
    <n v="57875961749"/>
    <s v="Aaron Perry"/>
    <x v="0"/>
    <x v="2"/>
    <s v="Negócios"/>
    <x v="0"/>
    <d v="1974-02-23T00:00:00"/>
    <x v="0"/>
    <x v="1"/>
    <n v="35.9"/>
    <n v="50"/>
    <x v="2"/>
  </r>
  <r>
    <n v="57970733283"/>
    <s v="Thiago Barbosa"/>
    <x v="0"/>
    <x v="1"/>
    <s v="Esportes"/>
    <x v="0"/>
    <d v="1965-11-15T00:00:00"/>
    <x v="0"/>
    <x v="2"/>
    <n v="9.9"/>
    <n v="58"/>
    <x v="0"/>
  </r>
  <r>
    <n v="58079835440"/>
    <s v="Eduardo Nunez"/>
    <x v="0"/>
    <x v="1"/>
    <s v="Negócios"/>
    <x v="1"/>
    <d v="1966-04-12T00:00:00"/>
    <x v="0"/>
    <x v="2"/>
    <n v="9.9"/>
    <n v="58"/>
    <x v="0"/>
  </r>
  <r>
    <n v="58289445241"/>
    <s v="Javier Peralta"/>
    <x v="0"/>
    <x v="3"/>
    <s v="Agronegócio"/>
    <x v="2"/>
    <d v="1988-07-25T00:00:00"/>
    <x v="0"/>
    <x v="1"/>
    <n v="35.9"/>
    <n v="35"/>
    <x v="3"/>
  </r>
  <r>
    <n v="58346333965"/>
    <s v="Emma Johnson"/>
    <x v="1"/>
    <x v="1"/>
    <s v="Agronegócio"/>
    <x v="0"/>
    <d v="1969-07-15T00:00:00"/>
    <x v="0"/>
    <x v="1"/>
    <n v="35.9"/>
    <n v="54"/>
    <x v="0"/>
  </r>
  <r>
    <n v="58366156412"/>
    <s v="Bruno Almeida"/>
    <x v="0"/>
    <x v="3"/>
    <s v="Economia"/>
    <x v="2"/>
    <d v="1987-10-29T00:00:00"/>
    <x v="0"/>
    <x v="0"/>
    <n v="29.9"/>
    <n v="36"/>
    <x v="3"/>
  </r>
  <r>
    <n v="58438486574"/>
    <s v="Valeria Pena"/>
    <x v="1"/>
    <x v="1"/>
    <s v="Finanças"/>
    <x v="1"/>
    <d v="1984-08-24T00:00:00"/>
    <x v="0"/>
    <x v="2"/>
    <n v="9.9"/>
    <n v="39"/>
    <x v="3"/>
  </r>
  <r>
    <n v="58546694716"/>
    <s v="Bernardo Oliveira"/>
    <x v="0"/>
    <x v="4"/>
    <s v="Economia"/>
    <x v="1"/>
    <d v="1981-01-27T00:00:00"/>
    <x v="0"/>
    <x v="1"/>
    <n v="35.9"/>
    <n v="43"/>
    <x v="3"/>
  </r>
  <r>
    <n v="58668298672"/>
    <s v="Emerson Almeida"/>
    <x v="0"/>
    <x v="1"/>
    <s v="Negócios"/>
    <x v="1"/>
    <d v="1993-07-21T00:00:00"/>
    <x v="0"/>
    <x v="3"/>
    <n v="79.900000000000006"/>
    <n v="30"/>
    <x v="1"/>
  </r>
  <r>
    <n v="58747813272"/>
    <s v="Lucas Fernandes"/>
    <x v="0"/>
    <x v="1"/>
    <s v="Economia"/>
    <x v="0"/>
    <d v="1979-05-17T00:00:00"/>
    <x v="1"/>
    <x v="1"/>
    <n v="35.9"/>
    <n v="45"/>
    <x v="2"/>
  </r>
  <r>
    <n v="58903912727"/>
    <s v="William Fernandes"/>
    <x v="0"/>
    <x v="0"/>
    <s v="Esportes"/>
    <x v="0"/>
    <d v="1973-11-08T00:00:00"/>
    <x v="2"/>
    <x v="0"/>
    <n v="29.9"/>
    <n v="50"/>
    <x v="2"/>
  </r>
  <r>
    <n v="58944256865"/>
    <s v="José Santos"/>
    <x v="0"/>
    <x v="3"/>
    <s v="Negócios"/>
    <x v="0"/>
    <d v="1999-08-24T00:00:00"/>
    <x v="3"/>
    <x v="2"/>
    <n v="9.9"/>
    <n v="24"/>
    <x v="1"/>
  </r>
  <r>
    <n v="59003331678"/>
    <s v="Ricardo Barbosa"/>
    <x v="0"/>
    <x v="1"/>
    <s v="Esportes"/>
    <x v="2"/>
    <d v="1988-01-10T00:00:00"/>
    <x v="3"/>
    <x v="2"/>
    <n v="9.9"/>
    <n v="36"/>
    <x v="3"/>
  </r>
  <r>
    <n v="59016888278"/>
    <s v="Carolina Lima"/>
    <x v="1"/>
    <x v="0"/>
    <s v="Negócios"/>
    <x v="1"/>
    <d v="1985-03-20T00:00:00"/>
    <x v="3"/>
    <x v="2"/>
    <n v="9.9"/>
    <n v="39"/>
    <x v="3"/>
  </r>
  <r>
    <n v="59017936332"/>
    <s v="Addison Ward"/>
    <x v="0"/>
    <x v="1"/>
    <s v="Economia"/>
    <x v="2"/>
    <d v="1975-08-16T00:00:00"/>
    <x v="3"/>
    <x v="1"/>
    <n v="35.9"/>
    <n v="48"/>
    <x v="2"/>
  </r>
  <r>
    <n v="59510083298"/>
    <s v="Matheus Almeida Santos"/>
    <x v="0"/>
    <x v="0"/>
    <s v="Negócios"/>
    <x v="0"/>
    <d v="1961-08-24T00:00:00"/>
    <x v="3"/>
    <x v="0"/>
    <n v="29.9"/>
    <n v="62"/>
    <x v="0"/>
  </r>
  <r>
    <n v="59616857954"/>
    <s v="Nora Collins"/>
    <x v="1"/>
    <x v="1"/>
    <s v="Esportes"/>
    <x v="0"/>
    <d v="1977-12-23T00:00:00"/>
    <x v="3"/>
    <x v="2"/>
    <n v="9.9"/>
    <n v="46"/>
    <x v="2"/>
  </r>
  <r>
    <n v="59825274523"/>
    <s v="José da Silva"/>
    <x v="0"/>
    <x v="2"/>
    <s v="Agronegócio"/>
    <x v="2"/>
    <d v="1981-11-24T00:00:00"/>
    <x v="4"/>
    <x v="2"/>
    <n v="9.9"/>
    <n v="42"/>
    <x v="3"/>
  </r>
  <r>
    <n v="59847163476"/>
    <s v="Jonathan Phillips"/>
    <x v="0"/>
    <x v="1"/>
    <s v="Política"/>
    <x v="1"/>
    <d v="1977-01-13T00:00:00"/>
    <x v="0"/>
    <x v="3"/>
    <n v="79.900000000000006"/>
    <n v="47"/>
    <x v="2"/>
  </r>
  <r>
    <n v="60015297037"/>
    <s v="Rafael Gomes"/>
    <x v="0"/>
    <x v="2"/>
    <s v="Negócios"/>
    <x v="0"/>
    <d v="1993-10-25T00:00:00"/>
    <x v="0"/>
    <x v="0"/>
    <n v="29.9"/>
    <n v="30"/>
    <x v="1"/>
  </r>
  <r>
    <n v="60024137404"/>
    <s v="Lorena Paredes"/>
    <x v="1"/>
    <x v="0"/>
    <s v="Negócios"/>
    <x v="0"/>
    <d v="1970-12-13T00:00:00"/>
    <x v="0"/>
    <x v="2"/>
    <n v="9.9"/>
    <n v="53"/>
    <x v="2"/>
  </r>
  <r>
    <n v="60051549640"/>
    <s v="Amanda Souza"/>
    <x v="1"/>
    <x v="1"/>
    <s v="Economia"/>
    <x v="1"/>
    <d v="1966-07-18T00:00:00"/>
    <x v="0"/>
    <x v="0"/>
    <n v="29.9"/>
    <n v="57"/>
    <x v="0"/>
  </r>
  <r>
    <n v="60149753821"/>
    <s v="William Santos"/>
    <x v="0"/>
    <x v="3"/>
    <s v="Economia"/>
    <x v="2"/>
    <d v="1975-01-22T00:00:00"/>
    <x v="0"/>
    <x v="2"/>
    <n v="9.9"/>
    <n v="49"/>
    <x v="2"/>
  </r>
  <r>
    <n v="60183693472"/>
    <s v="Bernardo Silva"/>
    <x v="0"/>
    <x v="0"/>
    <s v="Agronegócio"/>
    <x v="2"/>
    <d v="1984-04-25T00:00:00"/>
    <x v="5"/>
    <x v="3"/>
    <n v="79.900000000000006"/>
    <n v="40"/>
    <x v="3"/>
  </r>
  <r>
    <n v="60235696152"/>
    <s v="Emerson Costa"/>
    <x v="0"/>
    <x v="2"/>
    <s v="Esportes"/>
    <x v="2"/>
    <d v="1966-02-16T00:00:00"/>
    <x v="1"/>
    <x v="2"/>
    <n v="9.9"/>
    <n v="58"/>
    <x v="0"/>
  </r>
  <r>
    <n v="60525979542"/>
    <s v="Pedro Costa"/>
    <x v="0"/>
    <x v="0"/>
    <s v="Negócios"/>
    <x v="0"/>
    <d v="1995-06-12T00:00:00"/>
    <x v="6"/>
    <x v="0"/>
    <n v="29.9"/>
    <n v="28"/>
    <x v="1"/>
  </r>
  <r>
    <n v="60989752820"/>
    <s v="Cameron Coleman"/>
    <x v="0"/>
    <x v="1"/>
    <s v="Negócios"/>
    <x v="0"/>
    <d v="1991-03-31T00:00:00"/>
    <x v="2"/>
    <x v="2"/>
    <n v="9.9"/>
    <n v="33"/>
    <x v="1"/>
  </r>
  <r>
    <n v="61010920820"/>
    <s v="Marcelo Santos"/>
    <x v="0"/>
    <x v="1"/>
    <s v="Esportes"/>
    <x v="0"/>
    <d v="1978-08-03T00:00:00"/>
    <x v="7"/>
    <x v="2"/>
    <n v="9.9"/>
    <n v="45"/>
    <x v="2"/>
  </r>
  <r>
    <n v="61123160920"/>
    <s v="Ricardo Lara"/>
    <x v="0"/>
    <x v="1"/>
    <s v="Economia"/>
    <x v="0"/>
    <d v="1985-02-14T00:00:00"/>
    <x v="5"/>
    <x v="1"/>
    <n v="35.9"/>
    <n v="39"/>
    <x v="3"/>
  </r>
  <r>
    <n v="61998180036"/>
    <s v="Evelyn Walker"/>
    <x v="1"/>
    <x v="1"/>
    <s v="Economia"/>
    <x v="0"/>
    <d v="1971-05-14T00:00:00"/>
    <x v="4"/>
    <x v="2"/>
    <n v="9.9"/>
    <n v="53"/>
    <x v="2"/>
  </r>
  <r>
    <n v="62050521447"/>
    <s v="Amanda Oliveira"/>
    <x v="1"/>
    <x v="4"/>
    <s v="Negócios"/>
    <x v="0"/>
    <d v="1984-02-06T00:00:00"/>
    <x v="3"/>
    <x v="2"/>
    <n v="9.9"/>
    <n v="40"/>
    <x v="3"/>
  </r>
  <r>
    <n v="62673271781"/>
    <s v="Sofia Velez"/>
    <x v="1"/>
    <x v="4"/>
    <s v="Finanças"/>
    <x v="0"/>
    <d v="1992-04-09T00:00:00"/>
    <x v="5"/>
    <x v="0"/>
    <n v="29.9"/>
    <n v="32"/>
    <x v="1"/>
  </r>
  <r>
    <n v="63042983789"/>
    <s v="Raul Dominguez"/>
    <x v="0"/>
    <x v="1"/>
    <s v="Agronegócio"/>
    <x v="2"/>
    <d v="1989-06-04T00:00:00"/>
    <x v="4"/>
    <x v="2"/>
    <n v="9.9"/>
    <n v="34"/>
    <x v="1"/>
  </r>
  <r>
    <n v="63194018864"/>
    <s v="Scarlett Mitchell"/>
    <x v="0"/>
    <x v="3"/>
    <s v="Economia"/>
    <x v="2"/>
    <d v="1960-08-19T00:00:00"/>
    <x v="3"/>
    <x v="2"/>
    <n v="9.9"/>
    <n v="63"/>
    <x v="0"/>
  </r>
  <r>
    <n v="63430108478"/>
    <s v="Vilma Pereira"/>
    <x v="1"/>
    <x v="0"/>
    <s v="Finanças"/>
    <x v="0"/>
    <d v="1972-05-04T00:00:00"/>
    <x v="0"/>
    <x v="2"/>
    <n v="9.9"/>
    <n v="52"/>
    <x v="2"/>
  </r>
  <r>
    <n v="63534216354"/>
    <s v="Isabella Taylor"/>
    <x v="1"/>
    <x v="1"/>
    <s v="Economia"/>
    <x v="0"/>
    <d v="1978-12-17T00:00:00"/>
    <x v="0"/>
    <x v="2"/>
    <n v="9.9"/>
    <n v="45"/>
    <x v="2"/>
  </r>
  <r>
    <n v="63568912225"/>
    <s v="Renata Oliveira"/>
    <x v="1"/>
    <x v="0"/>
    <s v="Negócios"/>
    <x v="1"/>
    <d v="1975-02-19T00:00:00"/>
    <x v="0"/>
    <x v="2"/>
    <n v="9.9"/>
    <n v="49"/>
    <x v="2"/>
  </r>
  <r>
    <n v="63795122122"/>
    <s v="Autumn Brooks"/>
    <x v="0"/>
    <x v="3"/>
    <s v="Economia"/>
    <x v="1"/>
    <d v="1993-05-18T00:00:00"/>
    <x v="0"/>
    <x v="2"/>
    <n v="9.9"/>
    <n v="30"/>
    <x v="1"/>
  </r>
  <r>
    <n v="64130526083"/>
    <s v="Pedro Rodrigues Martins"/>
    <x v="0"/>
    <x v="3"/>
    <s v="Esportes"/>
    <x v="0"/>
    <d v="1984-11-15T00:00:00"/>
    <x v="0"/>
    <x v="0"/>
    <n v="29.9"/>
    <n v="39"/>
    <x v="3"/>
  </r>
  <r>
    <n v="64350773035"/>
    <s v="Joshua Reed"/>
    <x v="0"/>
    <x v="3"/>
    <s v="Economia"/>
    <x v="2"/>
    <d v="1972-01-27T00:00:00"/>
    <x v="0"/>
    <x v="0"/>
    <n v="29.9"/>
    <n v="52"/>
    <x v="2"/>
  </r>
  <r>
    <n v="64406878055"/>
    <s v="Giovanna Oliveira Martins"/>
    <x v="1"/>
    <x v="0"/>
    <s v="Economia"/>
    <x v="1"/>
    <d v="1983-05-18T00:00:00"/>
    <x v="0"/>
    <x v="0"/>
    <n v="29.9"/>
    <n v="40"/>
    <x v="3"/>
  </r>
  <r>
    <n v="64709618097"/>
    <s v="Vilma Fernandes"/>
    <x v="1"/>
    <x v="1"/>
    <s v="Esportes"/>
    <x v="2"/>
    <d v="1965-10-04T00:00:00"/>
    <x v="0"/>
    <x v="0"/>
    <n v="29.9"/>
    <n v="58"/>
    <x v="0"/>
  </r>
  <r>
    <n v="64859560508"/>
    <s v="Penelope Bailey"/>
    <x v="1"/>
    <x v="1"/>
    <s v="Economia"/>
    <x v="2"/>
    <d v="1971-01-04T00:00:00"/>
    <x v="0"/>
    <x v="0"/>
    <n v="29.9"/>
    <n v="53"/>
    <x v="2"/>
  </r>
  <r>
    <n v="64965174741"/>
    <s v="Patricia Medina"/>
    <x v="1"/>
    <x v="1"/>
    <s v="Economia"/>
    <x v="0"/>
    <d v="1972-02-02T00:00:00"/>
    <x v="1"/>
    <x v="2"/>
    <n v="9.9"/>
    <n v="52"/>
    <x v="2"/>
  </r>
  <r>
    <n v="65014260265"/>
    <s v="Miguel Rivera"/>
    <x v="0"/>
    <x v="1"/>
    <s v="Agronegócio"/>
    <x v="0"/>
    <d v="1978-02-06T00:00:00"/>
    <x v="2"/>
    <x v="3"/>
    <n v="79.900000000000006"/>
    <n v="46"/>
    <x v="2"/>
  </r>
  <r>
    <n v="65252032106"/>
    <s v="Pedro Gomes"/>
    <x v="0"/>
    <x v="1"/>
    <s v="Negócios"/>
    <x v="0"/>
    <d v="1970-01-29T00:00:00"/>
    <x v="3"/>
    <x v="0"/>
    <n v="29.9"/>
    <n v="54"/>
    <x v="0"/>
  </r>
  <r>
    <n v="65320164752"/>
    <s v="Lucas Oliveira"/>
    <x v="0"/>
    <x v="0"/>
    <s v="Esportes"/>
    <x v="0"/>
    <d v="1963-05-16T00:00:00"/>
    <x v="3"/>
    <x v="2"/>
    <n v="9.9"/>
    <n v="61"/>
    <x v="0"/>
  </r>
  <r>
    <n v="65344117273"/>
    <s v="José Fernandes"/>
    <x v="0"/>
    <x v="1"/>
    <s v="Negócios"/>
    <x v="1"/>
    <d v="1969-07-12T00:00:00"/>
    <x v="3"/>
    <x v="1"/>
    <n v="35.9"/>
    <n v="54"/>
    <x v="0"/>
  </r>
  <r>
    <n v="65345196819"/>
    <s v="Owen Watson"/>
    <x v="0"/>
    <x v="1"/>
    <s v="Negócios"/>
    <x v="1"/>
    <d v="1989-04-29T00:00:00"/>
    <x v="3"/>
    <x v="2"/>
    <n v="9.9"/>
    <n v="35"/>
    <x v="3"/>
  </r>
  <r>
    <n v="65384833003"/>
    <s v="Emerson Rodrigues"/>
    <x v="0"/>
    <x v="3"/>
    <s v="Finanças"/>
    <x v="0"/>
    <d v="1988-03-20T00:00:00"/>
    <x v="3"/>
    <x v="0"/>
    <n v="29.9"/>
    <n v="36"/>
    <x v="3"/>
  </r>
  <r>
    <n v="65490123014"/>
    <s v="Diego Ramirez"/>
    <x v="0"/>
    <x v="4"/>
    <s v="Negócios"/>
    <x v="0"/>
    <d v="1981-08-12T00:00:00"/>
    <x v="3"/>
    <x v="2"/>
    <n v="9.9"/>
    <n v="42"/>
    <x v="3"/>
  </r>
  <r>
    <n v="65784346414"/>
    <s v="Rafael Martins"/>
    <x v="0"/>
    <x v="1"/>
    <s v="Agronegócio"/>
    <x v="0"/>
    <d v="1999-10-20T00:00:00"/>
    <x v="4"/>
    <x v="3"/>
    <n v="79.900000000000006"/>
    <n v="24"/>
    <x v="1"/>
  </r>
  <r>
    <n v="66053578513"/>
    <s v="Guadalupe Munoz"/>
    <x v="1"/>
    <x v="4"/>
    <s v="Negócios"/>
    <x v="0"/>
    <d v="1993-12-31T00:00:00"/>
    <x v="0"/>
    <x v="2"/>
    <n v="9.9"/>
    <n v="30"/>
    <x v="1"/>
  </r>
  <r>
    <n v="66332658626"/>
    <s v="Sandra Costa"/>
    <x v="1"/>
    <x v="0"/>
    <s v="Economia"/>
    <x v="2"/>
    <d v="1964-03-27T00:00:00"/>
    <x v="0"/>
    <x v="0"/>
    <n v="29.9"/>
    <n v="60"/>
    <x v="0"/>
  </r>
  <r>
    <n v="66760582781"/>
    <s v="Bruno Silva"/>
    <x v="0"/>
    <x v="1"/>
    <s v="Negócios"/>
    <x v="0"/>
    <d v="1971-11-14T00:00:00"/>
    <x v="0"/>
    <x v="2"/>
    <n v="9.9"/>
    <n v="52"/>
    <x v="2"/>
  </r>
  <r>
    <n v="66893530711"/>
    <s v="Sandra Souza"/>
    <x v="0"/>
    <x v="1"/>
    <s v="Negócios"/>
    <x v="0"/>
    <d v="1987-07-17T00:00:00"/>
    <x v="0"/>
    <x v="2"/>
    <n v="9.9"/>
    <n v="36"/>
    <x v="3"/>
  </r>
  <r>
    <n v="67257820477"/>
    <s v="Javier Diaz"/>
    <x v="0"/>
    <x v="3"/>
    <s v="Negócios"/>
    <x v="0"/>
    <d v="1987-12-03T00:00:00"/>
    <x v="0"/>
    <x v="2"/>
    <n v="9.9"/>
    <n v="36"/>
    <x v="3"/>
  </r>
  <r>
    <n v="67330566972"/>
    <s v="José Rodrigues"/>
    <x v="0"/>
    <x v="0"/>
    <s v="Economia"/>
    <x v="0"/>
    <d v="1971-09-19T00:00:00"/>
    <x v="5"/>
    <x v="0"/>
    <n v="29.9"/>
    <n v="52"/>
    <x v="2"/>
  </r>
  <r>
    <n v="67780271893"/>
    <s v="William Oliveira"/>
    <x v="0"/>
    <x v="1"/>
    <s v="Finanças"/>
    <x v="1"/>
    <d v="1991-05-31T00:00:00"/>
    <x v="1"/>
    <x v="0"/>
    <n v="29.9"/>
    <n v="32"/>
    <x v="1"/>
  </r>
  <r>
    <n v="67927286591"/>
    <s v="Jesus Manuel Jimenez"/>
    <x v="0"/>
    <x v="0"/>
    <s v="Agronegócio"/>
    <x v="0"/>
    <d v="1971-08-06T00:00:00"/>
    <x v="6"/>
    <x v="3"/>
    <n v="79.900000000000006"/>
    <n v="52"/>
    <x v="2"/>
  </r>
  <r>
    <n v="68287318390"/>
    <s v="Carolina Valenzuela"/>
    <x v="1"/>
    <x v="1"/>
    <s v="Negócios"/>
    <x v="1"/>
    <d v="1986-09-29T00:00:00"/>
    <x v="2"/>
    <x v="3"/>
    <n v="79.900000000000006"/>
    <n v="37"/>
    <x v="3"/>
  </r>
  <r>
    <n v="68419842651"/>
    <s v="Sandra Pereira"/>
    <x v="1"/>
    <x v="0"/>
    <s v="Negócios"/>
    <x v="0"/>
    <d v="1987-09-17T00:00:00"/>
    <x v="7"/>
    <x v="3"/>
    <n v="79.900000000000006"/>
    <n v="36"/>
    <x v="3"/>
  </r>
  <r>
    <n v="68722509568"/>
    <s v="Elizabeth Young"/>
    <x v="1"/>
    <x v="3"/>
    <s v="Economia"/>
    <x v="0"/>
    <d v="1970-01-24T00:00:00"/>
    <x v="5"/>
    <x v="0"/>
    <n v="29.9"/>
    <n v="54"/>
    <x v="0"/>
  </r>
  <r>
    <n v="68759209105"/>
    <s v="Diana Lopez"/>
    <x v="1"/>
    <x v="0"/>
    <s v="Negócios"/>
    <x v="1"/>
    <d v="1989-04-10T00:00:00"/>
    <x v="4"/>
    <x v="3"/>
    <n v="79.900000000000006"/>
    <n v="35"/>
    <x v="3"/>
  </r>
  <r>
    <n v="68766514941"/>
    <s v="Rita Santos"/>
    <x v="1"/>
    <x v="0"/>
    <s v="Política"/>
    <x v="1"/>
    <d v="1987-03-25T00:00:00"/>
    <x v="3"/>
    <x v="3"/>
    <n v="79.900000000000006"/>
    <n v="37"/>
    <x v="3"/>
  </r>
  <r>
    <n v="69009325528"/>
    <s v="Alejandra Ortega"/>
    <x v="1"/>
    <x v="0"/>
    <s v="Negócios"/>
    <x v="0"/>
    <d v="1983-06-03T00:00:00"/>
    <x v="5"/>
    <x v="1"/>
    <n v="35.9"/>
    <n v="40"/>
    <x v="3"/>
  </r>
  <r>
    <n v="69020558638"/>
    <s v="Daniel Contreras"/>
    <x v="0"/>
    <x v="0"/>
    <s v="Finanças"/>
    <x v="1"/>
    <d v="1983-06-21T00:00:00"/>
    <x v="4"/>
    <x v="0"/>
    <n v="29.9"/>
    <n v="40"/>
    <x v="3"/>
  </r>
  <r>
    <n v="69160901332"/>
    <s v="Luis Reyes"/>
    <x v="0"/>
    <x v="2"/>
    <s v="Finanças"/>
    <x v="0"/>
    <d v="1982-01-07T00:00:00"/>
    <x v="3"/>
    <x v="2"/>
    <n v="9.9"/>
    <n v="42"/>
    <x v="3"/>
  </r>
  <r>
    <n v="69275333938"/>
    <s v="William Martins"/>
    <x v="0"/>
    <x v="1"/>
    <s v="Economia"/>
    <x v="0"/>
    <d v="1974-08-01T00:00:00"/>
    <x v="0"/>
    <x v="1"/>
    <n v="35.9"/>
    <n v="49"/>
    <x v="2"/>
  </r>
  <r>
    <n v="69591068465"/>
    <s v="Elena Cabrera"/>
    <x v="1"/>
    <x v="1"/>
    <s v="Economia"/>
    <x v="2"/>
    <d v="1967-07-22T00:00:00"/>
    <x v="0"/>
    <x v="1"/>
    <n v="35.9"/>
    <n v="56"/>
    <x v="0"/>
  </r>
  <r>
    <n v="69711643192"/>
    <s v="Jose Flores"/>
    <x v="0"/>
    <x v="0"/>
    <s v="Negócios"/>
    <x v="1"/>
    <d v="1990-08-02T00:00:00"/>
    <x v="0"/>
    <x v="2"/>
    <n v="9.9"/>
    <n v="33"/>
    <x v="1"/>
  </r>
  <r>
    <n v="69832499336"/>
    <s v="Naomi Carter"/>
    <x v="1"/>
    <x v="1"/>
    <s v="Economia"/>
    <x v="0"/>
    <d v="1989-12-27T00:00:00"/>
    <x v="0"/>
    <x v="2"/>
    <n v="9.9"/>
    <n v="34"/>
    <x v="1"/>
  </r>
  <r>
    <n v="69859227518"/>
    <s v="Rita Martins"/>
    <x v="1"/>
    <x v="1"/>
    <s v="Economia"/>
    <x v="0"/>
    <d v="1990-10-05T00:00:00"/>
    <x v="0"/>
    <x v="1"/>
    <n v="35.9"/>
    <n v="33"/>
    <x v="1"/>
  </r>
  <r>
    <n v="70125809974"/>
    <s v="Robert Watson"/>
    <x v="0"/>
    <x v="0"/>
    <s v="Finanças"/>
    <x v="0"/>
    <d v="1968-08-10T00:00:00"/>
    <x v="0"/>
    <x v="0"/>
    <n v="29.9"/>
    <n v="55"/>
    <x v="0"/>
  </r>
  <r>
    <n v="70992659687"/>
    <s v="Gabriel Lima Almeida"/>
    <x v="0"/>
    <x v="1"/>
    <s v="Agronegócio"/>
    <x v="2"/>
    <d v="1979-09-26T00:00:00"/>
    <x v="0"/>
    <x v="2"/>
    <n v="9.9"/>
    <n v="44"/>
    <x v="2"/>
  </r>
  <r>
    <n v="71237243348"/>
    <s v="Vilma Oliveira"/>
    <x v="1"/>
    <x v="1"/>
    <s v="Economia"/>
    <x v="0"/>
    <d v="1985-07-07T00:00:00"/>
    <x v="0"/>
    <x v="2"/>
    <n v="9.9"/>
    <n v="38"/>
    <x v="3"/>
  </r>
  <r>
    <n v="71277357983"/>
    <s v="Bernardo Almeida"/>
    <x v="0"/>
    <x v="2"/>
    <s v="Finanças"/>
    <x v="0"/>
    <d v="1967-06-10T00:00:00"/>
    <x v="0"/>
    <x v="0"/>
    <n v="29.9"/>
    <n v="56"/>
    <x v="0"/>
  </r>
  <r>
    <n v="71408591056"/>
    <s v="Renata Rodrigues"/>
    <x v="1"/>
    <x v="3"/>
    <s v="Política"/>
    <x v="2"/>
    <d v="1981-03-01T00:00:00"/>
    <x v="1"/>
    <x v="3"/>
    <n v="79.900000000000006"/>
    <n v="43"/>
    <x v="3"/>
  </r>
  <r>
    <n v="71434327238"/>
    <s v="Antonio Pacheco"/>
    <x v="0"/>
    <x v="3"/>
    <s v="Finanças"/>
    <x v="0"/>
    <d v="1990-02-22T00:00:00"/>
    <x v="2"/>
    <x v="0"/>
    <n v="29.9"/>
    <n v="34"/>
    <x v="1"/>
  </r>
  <r>
    <n v="71472265989"/>
    <s v="Manuel Jimenez"/>
    <x v="0"/>
    <x v="1"/>
    <s v="Negócios"/>
    <x v="1"/>
    <d v="1981-02-09T00:00:00"/>
    <x v="3"/>
    <x v="1"/>
    <n v="35.9"/>
    <n v="43"/>
    <x v="3"/>
  </r>
  <r>
    <n v="71629613903"/>
    <s v="Pedro Santos"/>
    <x v="0"/>
    <x v="0"/>
    <s v="Economia"/>
    <x v="0"/>
    <d v="1999-11-25T00:00:00"/>
    <x v="3"/>
    <x v="1"/>
    <n v="35.9"/>
    <n v="24"/>
    <x v="1"/>
  </r>
  <r>
    <n v="71989553091"/>
    <s v="André Lima"/>
    <x v="0"/>
    <x v="0"/>
    <s v="Economia"/>
    <x v="0"/>
    <d v="1964-05-13T00:00:00"/>
    <x v="3"/>
    <x v="1"/>
    <n v="35.9"/>
    <n v="60"/>
    <x v="0"/>
  </r>
  <r>
    <n v="72103743000"/>
    <s v="Francisco Chavez"/>
    <x v="0"/>
    <x v="4"/>
    <s v="Economia"/>
    <x v="0"/>
    <d v="1977-04-21T00:00:00"/>
    <x v="3"/>
    <x v="1"/>
    <n v="35.9"/>
    <n v="47"/>
    <x v="2"/>
  </r>
  <r>
    <n v="72578545172"/>
    <s v="Isabela Martins"/>
    <x v="1"/>
    <x v="3"/>
    <s v="Economia"/>
    <x v="2"/>
    <d v="1981-07-17T00:00:00"/>
    <x v="3"/>
    <x v="0"/>
    <n v="29.9"/>
    <n v="42"/>
    <x v="3"/>
  </r>
  <r>
    <n v="72653571309"/>
    <s v="Harper Reed"/>
    <x v="0"/>
    <x v="4"/>
    <s v="Economia"/>
    <x v="1"/>
    <d v="1960-03-27T00:00:00"/>
    <x v="3"/>
    <x v="1"/>
    <n v="35.9"/>
    <n v="64"/>
    <x v="0"/>
  </r>
  <r>
    <n v="72680945462"/>
    <s v="Andrew Brooks"/>
    <x v="0"/>
    <x v="1"/>
    <s v="Negócios"/>
    <x v="0"/>
    <d v="1991-04-10T00:00:00"/>
    <x v="4"/>
    <x v="2"/>
    <n v="9.9"/>
    <n v="33"/>
    <x v="1"/>
  </r>
  <r>
    <n v="72766768810"/>
    <s v="Maria Vargas"/>
    <x v="1"/>
    <x v="3"/>
    <s v="Economia"/>
    <x v="0"/>
    <d v="1982-09-20T00:00:00"/>
    <x v="0"/>
    <x v="0"/>
    <n v="29.9"/>
    <n v="41"/>
    <x v="3"/>
  </r>
  <r>
    <n v="72900858413"/>
    <s v="Dylan Bell"/>
    <x v="0"/>
    <x v="2"/>
    <s v="Finanças"/>
    <x v="0"/>
    <d v="1981-10-14T00:00:00"/>
    <x v="0"/>
    <x v="0"/>
    <n v="29.9"/>
    <n v="42"/>
    <x v="3"/>
  </r>
  <r>
    <n v="73430417324"/>
    <s v="Emerson Santos"/>
    <x v="0"/>
    <x v="1"/>
    <s v="Economia"/>
    <x v="0"/>
    <d v="1982-01-16T00:00:00"/>
    <x v="0"/>
    <x v="0"/>
    <n v="29.9"/>
    <n v="42"/>
    <x v="3"/>
  </r>
  <r>
    <n v="73629904035"/>
    <s v="Claire Long"/>
    <x v="1"/>
    <x v="0"/>
    <s v="Economia"/>
    <x v="0"/>
    <d v="1983-06-23T00:00:00"/>
    <x v="0"/>
    <x v="1"/>
    <n v="35.9"/>
    <n v="40"/>
    <x v="3"/>
  </r>
  <r>
    <n v="73925142939"/>
    <s v="Pedro Oliveira"/>
    <x v="0"/>
    <x v="3"/>
    <s v="Política"/>
    <x v="2"/>
    <d v="1997-07-29T00:00:00"/>
    <x v="0"/>
    <x v="3"/>
    <n v="79.900000000000006"/>
    <n v="26"/>
    <x v="1"/>
  </r>
  <r>
    <n v="73947215075"/>
    <s v="Antônio Silva"/>
    <x v="0"/>
    <x v="0"/>
    <s v="Agronegócio"/>
    <x v="0"/>
    <d v="1976-06-06T00:00:00"/>
    <x v="5"/>
    <x v="3"/>
    <n v="79.900000000000006"/>
    <n v="47"/>
    <x v="2"/>
  </r>
  <r>
    <n v="74365444411"/>
    <s v="Oscar Ruiz"/>
    <x v="0"/>
    <x v="3"/>
    <s v="Esportes"/>
    <x v="0"/>
    <d v="1967-11-24T00:00:00"/>
    <x v="1"/>
    <x v="2"/>
    <n v="9.9"/>
    <n v="56"/>
    <x v="0"/>
  </r>
  <r>
    <n v="74394995473"/>
    <s v="Rafael Rodrigues"/>
    <x v="0"/>
    <x v="4"/>
    <s v="Finanças"/>
    <x v="0"/>
    <d v="1984-03-10T00:00:00"/>
    <x v="6"/>
    <x v="0"/>
    <n v="29.9"/>
    <n v="40"/>
    <x v="3"/>
  </r>
  <r>
    <n v="74716763098"/>
    <s v="Beatriz Ramos"/>
    <x v="1"/>
    <x v="2"/>
    <s v="Finanças"/>
    <x v="0"/>
    <d v="1976-09-05T00:00:00"/>
    <x v="2"/>
    <x v="2"/>
    <n v="9.9"/>
    <n v="47"/>
    <x v="2"/>
  </r>
  <r>
    <n v="75105956259"/>
    <s v="Maria Alencar"/>
    <x v="1"/>
    <x v="0"/>
    <s v="Política"/>
    <x v="1"/>
    <d v="1994-03-01T00:00:00"/>
    <x v="7"/>
    <x v="3"/>
    <n v="79.900000000000006"/>
    <n v="30"/>
    <x v="1"/>
  </r>
  <r>
    <n v="75196774664"/>
    <s v="Bruno Fernandes"/>
    <x v="0"/>
    <x v="1"/>
    <s v="Agronegócio"/>
    <x v="0"/>
    <d v="1960-10-18T00:00:00"/>
    <x v="5"/>
    <x v="1"/>
    <n v="35.9"/>
    <n v="63"/>
    <x v="0"/>
  </r>
  <r>
    <n v="75490586916"/>
    <s v="William Gomes"/>
    <x v="0"/>
    <x v="0"/>
    <s v="Política"/>
    <x v="1"/>
    <d v="1989-05-13T00:00:00"/>
    <x v="4"/>
    <x v="3"/>
    <n v="79.900000000000006"/>
    <n v="35"/>
    <x v="3"/>
  </r>
  <r>
    <n v="75500284653"/>
    <s v="Gabriel Lima"/>
    <x v="0"/>
    <x v="1"/>
    <s v="Agronegócio"/>
    <x v="0"/>
    <d v="1971-11-25T00:00:00"/>
    <x v="3"/>
    <x v="1"/>
    <n v="35.9"/>
    <n v="52"/>
    <x v="2"/>
  </r>
  <r>
    <n v="75640893297"/>
    <s v="Carolina Gomes Rodrigues"/>
    <x v="1"/>
    <x v="4"/>
    <s v="Negócios"/>
    <x v="0"/>
    <d v="1968-11-12T00:00:00"/>
    <x v="5"/>
    <x v="2"/>
    <n v="9.9"/>
    <n v="55"/>
    <x v="0"/>
  </r>
  <r>
    <n v="75647720892"/>
    <s v="José Oliveira"/>
    <x v="0"/>
    <x v="2"/>
    <s v="Esportes"/>
    <x v="2"/>
    <d v="1974-05-04T00:00:00"/>
    <x v="4"/>
    <x v="2"/>
    <n v="9.9"/>
    <n v="50"/>
    <x v="2"/>
  </r>
  <r>
    <n v="75720068227"/>
    <s v="Eliana Ramirez"/>
    <x v="1"/>
    <x v="3"/>
    <s v="Negócios"/>
    <x v="1"/>
    <d v="1988-07-05T00:00:00"/>
    <x v="3"/>
    <x v="0"/>
    <n v="29.9"/>
    <n v="35"/>
    <x v="3"/>
  </r>
  <r>
    <n v="75883715598"/>
    <s v="Gabriela Mendoza"/>
    <x v="0"/>
    <x v="3"/>
    <s v="Esportes"/>
    <x v="1"/>
    <d v="1962-08-09T00:00:00"/>
    <x v="0"/>
    <x v="2"/>
    <n v="9.9"/>
    <n v="61"/>
    <x v="0"/>
  </r>
  <r>
    <n v="75886580216"/>
    <s v="William Almeida"/>
    <x v="0"/>
    <x v="3"/>
    <s v="Negócios"/>
    <x v="0"/>
    <d v="1974-09-17T00:00:00"/>
    <x v="0"/>
    <x v="2"/>
    <n v="9.9"/>
    <n v="49"/>
    <x v="2"/>
  </r>
  <r>
    <n v="76227666348"/>
    <s v="Sandra Gomes"/>
    <x v="1"/>
    <x v="1"/>
    <s v="Finanças"/>
    <x v="1"/>
    <d v="1992-01-18T00:00:00"/>
    <x v="0"/>
    <x v="0"/>
    <n v="29.9"/>
    <n v="32"/>
    <x v="1"/>
  </r>
  <r>
    <n v="76419222774"/>
    <s v="Sandra Santos"/>
    <x v="1"/>
    <x v="1"/>
    <s v="Agronegócio"/>
    <x v="0"/>
    <d v="1970-08-11T00:00:00"/>
    <x v="0"/>
    <x v="2"/>
    <n v="9.9"/>
    <n v="53"/>
    <x v="2"/>
  </r>
  <r>
    <n v="76513561348"/>
    <s v="Carlos Lopez"/>
    <x v="0"/>
    <x v="1"/>
    <s v="Negócios"/>
    <x v="1"/>
    <d v="1986-09-12T00:00:00"/>
    <x v="0"/>
    <x v="0"/>
    <n v="29.9"/>
    <n v="37"/>
    <x v="3"/>
  </r>
  <r>
    <n v="76617239194"/>
    <s v="Laura Mendes"/>
    <x v="1"/>
    <x v="1"/>
    <s v="Negócios"/>
    <x v="1"/>
    <d v="1974-06-19T00:00:00"/>
    <x v="0"/>
    <x v="0"/>
    <n v="29.9"/>
    <n v="49"/>
    <x v="2"/>
  </r>
  <r>
    <n v="76661469865"/>
    <s v="Bernardo Rodrigues"/>
    <x v="0"/>
    <x v="1"/>
    <s v="Economia"/>
    <x v="2"/>
    <d v="1994-08-25T00:00:00"/>
    <x v="0"/>
    <x v="2"/>
    <n v="9.9"/>
    <n v="29"/>
    <x v="1"/>
  </r>
  <r>
    <n v="76755306471"/>
    <s v="Rita Costa"/>
    <x v="1"/>
    <x v="0"/>
    <s v="Economia"/>
    <x v="0"/>
    <d v="1983-03-15T00:00:00"/>
    <x v="0"/>
    <x v="2"/>
    <n v="9.9"/>
    <n v="41"/>
    <x v="3"/>
  </r>
  <r>
    <n v="76981963636"/>
    <s v="Adriana Silva"/>
    <x v="1"/>
    <x v="1"/>
    <s v="Agronegócio"/>
    <x v="0"/>
    <d v="1975-09-25T00:00:00"/>
    <x v="0"/>
    <x v="1"/>
    <n v="35.9"/>
    <n v="48"/>
    <x v="2"/>
  </r>
  <r>
    <n v="77035928818"/>
    <s v="Emma Cruz"/>
    <x v="1"/>
    <x v="1"/>
    <s v="Esportes"/>
    <x v="0"/>
    <d v="1969-01-20T00:00:00"/>
    <x v="1"/>
    <x v="0"/>
    <n v="29.9"/>
    <n v="55"/>
    <x v="0"/>
  </r>
  <r>
    <n v="77297614799"/>
    <s v="Beatriz Castro"/>
    <x v="1"/>
    <x v="3"/>
    <s v="Negócios"/>
    <x v="0"/>
    <d v="1998-09-08T00:00:00"/>
    <x v="2"/>
    <x v="0"/>
    <n v="29.9"/>
    <n v="25"/>
    <x v="1"/>
  </r>
  <r>
    <n v="77353989708"/>
    <s v="Bruno Oliveira"/>
    <x v="0"/>
    <x v="3"/>
    <s v="Agronegócio"/>
    <x v="1"/>
    <d v="1968-04-11T00:00:00"/>
    <x v="3"/>
    <x v="2"/>
    <n v="9.9"/>
    <n v="56"/>
    <x v="0"/>
  </r>
  <r>
    <n v="77517679683"/>
    <s v="Lincoln Powell"/>
    <x v="0"/>
    <x v="1"/>
    <s v="Economia"/>
    <x v="1"/>
    <d v="1991-08-23T00:00:00"/>
    <x v="3"/>
    <x v="0"/>
    <n v="29.9"/>
    <n v="32"/>
    <x v="1"/>
  </r>
  <r>
    <n v="77576268900"/>
    <s v="Mariana Silva"/>
    <x v="1"/>
    <x v="1"/>
    <s v="Negócios"/>
    <x v="1"/>
    <d v="1984-12-21T00:00:00"/>
    <x v="3"/>
    <x v="2"/>
    <n v="9.9"/>
    <n v="39"/>
    <x v="3"/>
  </r>
  <r>
    <n v="77956710912"/>
    <s v="Miguel Perez"/>
    <x v="0"/>
    <x v="3"/>
    <s v="Finanças"/>
    <x v="2"/>
    <d v="1974-06-03T00:00:00"/>
    <x v="3"/>
    <x v="0"/>
    <n v="29.9"/>
    <n v="49"/>
    <x v="2"/>
  </r>
  <r>
    <n v="78203672011"/>
    <s v="Rafael Santos"/>
    <x v="0"/>
    <x v="0"/>
    <s v="Agronegócio"/>
    <x v="0"/>
    <d v="1979-04-25T00:00:00"/>
    <x v="3"/>
    <x v="1"/>
    <n v="35.9"/>
    <n v="45"/>
    <x v="2"/>
  </r>
  <r>
    <n v="78384232915"/>
    <s v="Mariana Martins"/>
    <x v="1"/>
    <x v="1"/>
    <s v="Economia"/>
    <x v="0"/>
    <d v="1981-08-02T00:00:00"/>
    <x v="3"/>
    <x v="2"/>
    <n v="9.9"/>
    <n v="42"/>
    <x v="3"/>
  </r>
  <r>
    <n v="78732548500"/>
    <s v="Amelia Garcia"/>
    <x v="1"/>
    <x v="0"/>
    <s v="Esportes"/>
    <x v="2"/>
    <d v="1991-07-30T00:00:00"/>
    <x v="4"/>
    <x v="0"/>
    <n v="29.9"/>
    <n v="32"/>
    <x v="1"/>
  </r>
  <r>
    <n v="78770918998"/>
    <s v="Rita Pereira"/>
    <x v="1"/>
    <x v="4"/>
    <s v="Negócios"/>
    <x v="0"/>
    <d v="1989-10-14T00:00:00"/>
    <x v="0"/>
    <x v="2"/>
    <n v="9.9"/>
    <n v="34"/>
    <x v="1"/>
  </r>
  <r>
    <n v="78801671422"/>
    <s v="Júlia Martins"/>
    <x v="1"/>
    <x v="0"/>
    <s v="Finanças"/>
    <x v="1"/>
    <d v="1984-05-02T00:00:00"/>
    <x v="0"/>
    <x v="0"/>
    <n v="29.9"/>
    <n v="40"/>
    <x v="3"/>
  </r>
  <r>
    <n v="78983767645"/>
    <s v="Leah Sanders"/>
    <x v="1"/>
    <x v="1"/>
    <s v="Economia"/>
    <x v="0"/>
    <d v="1977-11-04T00:00:00"/>
    <x v="0"/>
    <x v="1"/>
    <n v="35.9"/>
    <n v="46"/>
    <x v="2"/>
  </r>
  <r>
    <n v="79152697017"/>
    <s v="Lucia Sanchez"/>
    <x v="0"/>
    <x v="1"/>
    <s v="Negócios"/>
    <x v="2"/>
    <d v="1987-02-07T00:00:00"/>
    <x v="0"/>
    <x v="0"/>
    <n v="29.9"/>
    <n v="37"/>
    <x v="3"/>
  </r>
  <r>
    <n v="79191835030"/>
    <s v="Vilma Santos"/>
    <x v="1"/>
    <x v="0"/>
    <s v="Finanças"/>
    <x v="1"/>
    <d v="1983-12-14T00:00:00"/>
    <x v="0"/>
    <x v="0"/>
    <n v="29.9"/>
    <n v="40"/>
    <x v="3"/>
  </r>
  <r>
    <n v="79692046981"/>
    <s v="Mateus Almeida"/>
    <x v="0"/>
    <x v="1"/>
    <s v="Economia"/>
    <x v="0"/>
    <d v="1976-10-19T00:00:00"/>
    <x v="5"/>
    <x v="1"/>
    <n v="35.9"/>
    <n v="47"/>
    <x v="2"/>
  </r>
  <r>
    <n v="80034583746"/>
    <s v="Ricardo Navarro"/>
    <x v="0"/>
    <x v="1"/>
    <s v="Finanças"/>
    <x v="0"/>
    <d v="1975-03-25T00:00:00"/>
    <x v="1"/>
    <x v="0"/>
    <n v="29.9"/>
    <n v="49"/>
    <x v="2"/>
  </r>
  <r>
    <n v="80299981987"/>
    <s v="Isabela Martins Pereira"/>
    <x v="1"/>
    <x v="1"/>
    <s v="Finanças"/>
    <x v="1"/>
    <d v="1992-07-06T00:00:00"/>
    <x v="6"/>
    <x v="2"/>
    <n v="9.9"/>
    <n v="31"/>
    <x v="1"/>
  </r>
  <r>
    <n v="80307995495"/>
    <s v="Sophia Wilson"/>
    <x v="1"/>
    <x v="1"/>
    <s v="Agronegócio"/>
    <x v="2"/>
    <d v="1969-07-14T00:00:00"/>
    <x v="2"/>
    <x v="3"/>
    <n v="79.900000000000006"/>
    <n v="54"/>
    <x v="0"/>
  </r>
  <r>
    <n v="80343263498"/>
    <s v="Rafael Ferreira Lima"/>
    <x v="0"/>
    <x v="0"/>
    <s v="Economia"/>
    <x v="0"/>
    <d v="1963-08-31T00:00:00"/>
    <x v="7"/>
    <x v="1"/>
    <n v="35.9"/>
    <n v="60"/>
    <x v="0"/>
  </r>
  <r>
    <n v="80727883222"/>
    <s v="Paula Rojas"/>
    <x v="1"/>
    <x v="1"/>
    <s v="Agronegócio"/>
    <x v="2"/>
    <d v="1975-11-28T00:00:00"/>
    <x v="5"/>
    <x v="3"/>
    <n v="79.900000000000006"/>
    <n v="48"/>
    <x v="2"/>
  </r>
  <r>
    <n v="80931859365"/>
    <s v="Guillermo Soto"/>
    <x v="0"/>
    <x v="0"/>
    <s v="Negócios"/>
    <x v="0"/>
    <d v="1984-05-13T00:00:00"/>
    <x v="4"/>
    <x v="0"/>
    <n v="29.9"/>
    <n v="40"/>
    <x v="3"/>
  </r>
  <r>
    <n v="81040031571"/>
    <s v="Cecilia Morales"/>
    <x v="1"/>
    <x v="3"/>
    <s v="Economia"/>
    <x v="2"/>
    <d v="1964-01-20T00:00:00"/>
    <x v="3"/>
    <x v="0"/>
    <n v="29.9"/>
    <n v="60"/>
    <x v="0"/>
  </r>
  <r>
    <n v="81073311563"/>
    <s v="Rafael Costa"/>
    <x v="0"/>
    <x v="1"/>
    <s v="Esportes"/>
    <x v="2"/>
    <d v="1980-10-05T00:00:00"/>
    <x v="5"/>
    <x v="2"/>
    <n v="9.9"/>
    <n v="43"/>
    <x v="3"/>
  </r>
  <r>
    <n v="81254163050"/>
    <s v="Marcelo Silva"/>
    <x v="0"/>
    <x v="1"/>
    <s v="Economia"/>
    <x v="0"/>
    <d v="1980-11-29T00:00:00"/>
    <x v="4"/>
    <x v="1"/>
    <n v="35.9"/>
    <n v="43"/>
    <x v="3"/>
  </r>
  <r>
    <n v="81389193399"/>
    <s v="Bernardo Pereira"/>
    <x v="0"/>
    <x v="0"/>
    <s v="Negócios"/>
    <x v="0"/>
    <d v="1979-09-17T00:00:00"/>
    <x v="3"/>
    <x v="0"/>
    <n v="29.9"/>
    <n v="44"/>
    <x v="2"/>
  </r>
  <r>
    <n v="81477810082"/>
    <s v="David Carter"/>
    <x v="0"/>
    <x v="2"/>
    <s v="Negócios"/>
    <x v="0"/>
    <d v="1994-11-20T00:00:00"/>
    <x v="0"/>
    <x v="0"/>
    <n v="29.9"/>
    <n v="29"/>
    <x v="1"/>
  </r>
  <r>
    <n v="81525212234"/>
    <s v="Connor Wood"/>
    <x v="1"/>
    <x v="0"/>
    <s v="Finanças"/>
    <x v="1"/>
    <d v="1985-09-21T00:00:00"/>
    <x v="0"/>
    <x v="0"/>
    <n v="29.9"/>
    <n v="38"/>
    <x v="3"/>
  </r>
  <r>
    <n v="81656115235"/>
    <s v="Hector Aguilar"/>
    <x v="0"/>
    <x v="0"/>
    <s v="Economia"/>
    <x v="1"/>
    <d v="1989-09-01T00:00:00"/>
    <x v="0"/>
    <x v="0"/>
    <n v="29.9"/>
    <n v="34"/>
    <x v="1"/>
  </r>
  <r>
    <n v="81829540486"/>
    <s v="Laura Miranda"/>
    <x v="1"/>
    <x v="0"/>
    <s v="Política"/>
    <x v="0"/>
    <d v="1992-02-06T00:00:00"/>
    <x v="0"/>
    <x v="3"/>
    <n v="79.900000000000006"/>
    <n v="32"/>
    <x v="1"/>
  </r>
  <r>
    <n v="81841428890"/>
    <s v="Paisley King"/>
    <x v="0"/>
    <x v="0"/>
    <s v="Agronegócio"/>
    <x v="0"/>
    <d v="1963-09-16T00:00:00"/>
    <x v="0"/>
    <x v="3"/>
    <n v="79.900000000000006"/>
    <n v="60"/>
    <x v="0"/>
  </r>
  <r>
    <n v="81957095029"/>
    <s v="Ana Pereira"/>
    <x v="1"/>
    <x v="3"/>
    <s v="Finanças"/>
    <x v="0"/>
    <d v="1997-01-10T00:00:00"/>
    <x v="0"/>
    <x v="0"/>
    <n v="29.9"/>
    <n v="27"/>
    <x v="1"/>
  </r>
  <r>
    <n v="81957392796"/>
    <s v="Elijah Hernandez"/>
    <x v="1"/>
    <x v="3"/>
    <s v="Finanças"/>
    <x v="0"/>
    <d v="1991-12-23T00:00:00"/>
    <x v="0"/>
    <x v="2"/>
    <n v="9.9"/>
    <n v="32"/>
    <x v="1"/>
  </r>
  <r>
    <n v="81986544000"/>
    <s v="José Costa"/>
    <x v="0"/>
    <x v="1"/>
    <s v="Agronegócio"/>
    <x v="0"/>
    <d v="1983-08-01T00:00:00"/>
    <x v="0"/>
    <x v="1"/>
    <n v="35.9"/>
    <n v="40"/>
    <x v="3"/>
  </r>
  <r>
    <n v="82193403599"/>
    <s v="Mariana Costa"/>
    <x v="1"/>
    <x v="1"/>
    <s v="Economia"/>
    <x v="2"/>
    <d v="1963-12-21T00:00:00"/>
    <x v="0"/>
    <x v="1"/>
    <n v="35.9"/>
    <n v="60"/>
    <x v="0"/>
  </r>
  <r>
    <n v="82208515205"/>
    <s v="Marcos Barbosa"/>
    <x v="0"/>
    <x v="1"/>
    <s v="Agronegócio"/>
    <x v="2"/>
    <d v="1981-06-01T00:00:00"/>
    <x v="1"/>
    <x v="1"/>
    <n v="35.9"/>
    <n v="42"/>
    <x v="3"/>
  </r>
  <r>
    <n v="82322292165"/>
    <s v="Rita Oliveira"/>
    <x v="1"/>
    <x v="1"/>
    <s v="Economia"/>
    <x v="0"/>
    <d v="1960-05-13T00:00:00"/>
    <x v="2"/>
    <x v="1"/>
    <n v="35.9"/>
    <n v="64"/>
    <x v="0"/>
  </r>
  <r>
    <n v="82534701192"/>
    <s v="Amanda Costa"/>
    <x v="1"/>
    <x v="1"/>
    <s v="Negócios"/>
    <x v="0"/>
    <d v="1983-07-27T00:00:00"/>
    <x v="3"/>
    <x v="2"/>
    <n v="9.9"/>
    <n v="40"/>
    <x v="3"/>
  </r>
  <r>
    <n v="82602952057"/>
    <s v="Henrique Freitas"/>
    <x v="0"/>
    <x v="1"/>
    <s v="Negócios"/>
    <x v="2"/>
    <d v="1975-03-31T00:00:00"/>
    <x v="3"/>
    <x v="0"/>
    <n v="29.9"/>
    <n v="49"/>
    <x v="2"/>
  </r>
  <r>
    <n v="82616416182"/>
    <s v="Isabella Gonzalez"/>
    <x v="1"/>
    <x v="0"/>
    <s v="Economia"/>
    <x v="0"/>
    <d v="1963-04-26T00:00:00"/>
    <x v="3"/>
    <x v="2"/>
    <n v="9.9"/>
    <n v="61"/>
    <x v="0"/>
  </r>
  <r>
    <n v="82696018618"/>
    <s v="Alma Rosa Delgado"/>
    <x v="1"/>
    <x v="1"/>
    <s v="Negócios"/>
    <x v="1"/>
    <d v="1989-11-27T00:00:00"/>
    <x v="3"/>
    <x v="2"/>
    <n v="9.9"/>
    <n v="34"/>
    <x v="1"/>
  </r>
  <r>
    <n v="82955592711"/>
    <s v="Emily Wright"/>
    <x v="1"/>
    <x v="1"/>
    <s v="Esportes"/>
    <x v="2"/>
    <d v="1962-07-05T00:00:00"/>
    <x v="3"/>
    <x v="2"/>
    <n v="9.9"/>
    <n v="61"/>
    <x v="0"/>
  </r>
  <r>
    <n v="83052449006"/>
    <s v="Bernardo Gomes"/>
    <x v="0"/>
    <x v="1"/>
    <s v="Economia"/>
    <x v="0"/>
    <d v="1961-11-22T00:00:00"/>
    <x v="3"/>
    <x v="1"/>
    <n v="35.9"/>
    <n v="62"/>
    <x v="0"/>
  </r>
  <r>
    <n v="83212266867"/>
    <s v="Christian Bennett"/>
    <x v="0"/>
    <x v="0"/>
    <s v="Política"/>
    <x v="0"/>
    <d v="1982-09-02T00:00:00"/>
    <x v="4"/>
    <x v="3"/>
    <n v="79.900000000000006"/>
    <n v="41"/>
    <x v="3"/>
  </r>
  <r>
    <n v="83445012725"/>
    <s v="Rita Almeida"/>
    <x v="1"/>
    <x v="1"/>
    <s v="Negócios"/>
    <x v="1"/>
    <d v="1960-12-15T00:00:00"/>
    <x v="0"/>
    <x v="0"/>
    <n v="29.9"/>
    <n v="63"/>
    <x v="0"/>
  </r>
  <r>
    <n v="83649207260"/>
    <s v="Felipe Alves"/>
    <x v="0"/>
    <x v="3"/>
    <s v="Economia"/>
    <x v="1"/>
    <d v="1978-02-19T00:00:00"/>
    <x v="0"/>
    <x v="1"/>
    <n v="35.9"/>
    <n v="46"/>
    <x v="2"/>
  </r>
  <r>
    <n v="83970499766"/>
    <s v="Lucas Miller"/>
    <x v="0"/>
    <x v="3"/>
    <s v="Política"/>
    <x v="2"/>
    <d v="1997-04-18T00:00:00"/>
    <x v="0"/>
    <x v="3"/>
    <n v="79.900000000000006"/>
    <n v="27"/>
    <x v="1"/>
  </r>
  <r>
    <n v="84131868739"/>
    <s v="Emerson Martins"/>
    <x v="0"/>
    <x v="0"/>
    <s v="Agronegócio"/>
    <x v="0"/>
    <d v="1987-06-18T00:00:00"/>
    <x v="0"/>
    <x v="3"/>
    <n v="79.900000000000006"/>
    <n v="36"/>
    <x v="3"/>
  </r>
  <r>
    <n v="84303229207"/>
    <s v="Emiliano Acosta"/>
    <x v="0"/>
    <x v="1"/>
    <s v="Economia"/>
    <x v="0"/>
    <d v="1969-05-10T00:00:00"/>
    <x v="0"/>
    <x v="2"/>
    <n v="9.9"/>
    <n v="55"/>
    <x v="0"/>
  </r>
  <r>
    <n v="84709823345"/>
    <s v="Marcelo Fernandes"/>
    <x v="0"/>
    <x v="3"/>
    <s v="Negócios"/>
    <x v="0"/>
    <d v="1962-05-21T00:00:00"/>
    <x v="5"/>
    <x v="2"/>
    <n v="9.9"/>
    <n v="62"/>
    <x v="0"/>
  </r>
  <r>
    <n v="84913009166"/>
    <s v="Victor Maldonado"/>
    <x v="0"/>
    <x v="0"/>
    <s v="Política"/>
    <x v="0"/>
    <d v="1987-03-25T00:00:00"/>
    <x v="1"/>
    <x v="3"/>
    <n v="79.900000000000006"/>
    <n v="37"/>
    <x v="3"/>
  </r>
  <r>
    <n v="84948080328"/>
    <s v="Aria Rivera"/>
    <x v="1"/>
    <x v="1"/>
    <s v="Economia"/>
    <x v="0"/>
    <d v="1993-11-02T00:00:00"/>
    <x v="6"/>
    <x v="1"/>
    <n v="35.9"/>
    <n v="30"/>
    <x v="1"/>
  </r>
  <r>
    <n v="85098405832"/>
    <s v="Ana Ruiz"/>
    <x v="1"/>
    <x v="2"/>
    <s v="Agronegócio"/>
    <x v="2"/>
    <d v="1980-12-11T00:00:00"/>
    <x v="2"/>
    <x v="2"/>
    <n v="9.9"/>
    <n v="43"/>
    <x v="3"/>
  </r>
  <r>
    <n v="85179233460"/>
    <s v="Adriana Rojas"/>
    <x v="1"/>
    <x v="3"/>
    <s v="Negócios"/>
    <x v="0"/>
    <d v="1989-09-10T00:00:00"/>
    <x v="7"/>
    <x v="2"/>
    <n v="9.9"/>
    <n v="34"/>
    <x v="1"/>
  </r>
  <r>
    <n v="85199827692"/>
    <s v="Grace Hill"/>
    <x v="1"/>
    <x v="1"/>
    <s v="Economia"/>
    <x v="0"/>
    <d v="1984-10-05T00:00:00"/>
    <x v="5"/>
    <x v="1"/>
    <n v="35.9"/>
    <n v="39"/>
    <x v="3"/>
  </r>
  <r>
    <n v="85294985317"/>
    <s v="Rita Rodrigues"/>
    <x v="1"/>
    <x v="3"/>
    <s v="Finanças"/>
    <x v="2"/>
    <d v="1982-03-04T00:00:00"/>
    <x v="4"/>
    <x v="0"/>
    <n v="29.9"/>
    <n v="42"/>
    <x v="3"/>
  </r>
  <r>
    <n v="85486291852"/>
    <s v="Alejandra Valdez"/>
    <x v="1"/>
    <x v="0"/>
    <s v="Agronegócio"/>
    <x v="0"/>
    <d v="1975-04-04T00:00:00"/>
    <x v="3"/>
    <x v="2"/>
    <n v="9.9"/>
    <n v="49"/>
    <x v="2"/>
  </r>
  <r>
    <n v="85516322956"/>
    <s v="Harper Martinez"/>
    <x v="0"/>
    <x v="3"/>
    <s v="Economia"/>
    <x v="1"/>
    <d v="1986-04-16T00:00:00"/>
    <x v="5"/>
    <x v="1"/>
    <n v="35.9"/>
    <n v="38"/>
    <x v="3"/>
  </r>
  <r>
    <n v="85643949724"/>
    <s v="José Gomes"/>
    <x v="0"/>
    <x v="3"/>
    <s v="Esportes"/>
    <x v="1"/>
    <d v="1981-07-09T00:00:00"/>
    <x v="4"/>
    <x v="2"/>
    <n v="9.9"/>
    <n v="42"/>
    <x v="3"/>
  </r>
  <r>
    <n v="85741899575"/>
    <s v="Rylee Fisher"/>
    <x v="0"/>
    <x v="1"/>
    <s v="Agronegócio"/>
    <x v="2"/>
    <d v="1965-03-30T00:00:00"/>
    <x v="3"/>
    <x v="1"/>
    <n v="35.9"/>
    <n v="59"/>
    <x v="0"/>
  </r>
  <r>
    <n v="85811272833"/>
    <s v="Jordan Hayes"/>
    <x v="0"/>
    <x v="3"/>
    <s v="Negócios"/>
    <x v="2"/>
    <d v="1982-05-04T00:00:00"/>
    <x v="0"/>
    <x v="2"/>
    <n v="9.9"/>
    <n v="42"/>
    <x v="3"/>
  </r>
  <r>
    <n v="85815028040"/>
    <s v="Rafael Silva"/>
    <x v="0"/>
    <x v="3"/>
    <s v="Economia"/>
    <x v="0"/>
    <d v="1962-02-06T00:00:00"/>
    <x v="0"/>
    <x v="0"/>
    <n v="29.9"/>
    <n v="62"/>
    <x v="0"/>
  </r>
  <r>
    <n v="85835308143"/>
    <s v="Angelica Ibarra"/>
    <x v="1"/>
    <x v="3"/>
    <s v="Negócios"/>
    <x v="2"/>
    <d v="1994-03-21T00:00:00"/>
    <x v="0"/>
    <x v="3"/>
    <n v="79.900000000000006"/>
    <n v="30"/>
    <x v="1"/>
  </r>
  <r>
    <n v="85880197310"/>
    <s v="Vilma Costa"/>
    <x v="1"/>
    <x v="0"/>
    <s v="Economia"/>
    <x v="0"/>
    <d v="1977-06-03T00:00:00"/>
    <x v="0"/>
    <x v="1"/>
    <n v="35.9"/>
    <n v="46"/>
    <x v="2"/>
  </r>
  <r>
    <n v="86054892010"/>
    <s v="Victoria Murphy"/>
    <x v="1"/>
    <x v="1"/>
    <s v="Economia"/>
    <x v="2"/>
    <d v="1984-09-17T00:00:00"/>
    <x v="0"/>
    <x v="1"/>
    <n v="35.9"/>
    <n v="39"/>
    <x v="3"/>
  </r>
  <r>
    <n v="86094864413"/>
    <s v="Paulo Lima"/>
    <x v="1"/>
    <x v="0"/>
    <s v="Economia"/>
    <x v="2"/>
    <d v="1986-03-03T00:00:00"/>
    <x v="0"/>
    <x v="0"/>
    <n v="29.9"/>
    <n v="38"/>
    <x v="3"/>
  </r>
  <r>
    <n v="86499663957"/>
    <s v="Sofia Martinez"/>
    <x v="1"/>
    <x v="1"/>
    <s v="Economia"/>
    <x v="0"/>
    <d v="1973-02-15T00:00:00"/>
    <x v="0"/>
    <x v="1"/>
    <n v="35.9"/>
    <n v="51"/>
    <x v="2"/>
  </r>
  <r>
    <n v="86852773998"/>
    <s v="Miguel Angel Gonzalez"/>
    <x v="0"/>
    <x v="1"/>
    <s v="Economia"/>
    <x v="0"/>
    <d v="1971-08-09T00:00:00"/>
    <x v="0"/>
    <x v="0"/>
    <n v="29.9"/>
    <n v="52"/>
    <x v="2"/>
  </r>
  <r>
    <n v="86978937487"/>
    <s v="Michael Hall"/>
    <x v="0"/>
    <x v="0"/>
    <s v="Economia"/>
    <x v="1"/>
    <d v="1963-12-23T00:00:00"/>
    <x v="0"/>
    <x v="0"/>
    <n v="29.9"/>
    <n v="60"/>
    <x v="0"/>
  </r>
  <r>
    <n v="87196399314"/>
    <s v="Ryan Foster"/>
    <x v="0"/>
    <x v="0"/>
    <s v="Negócios"/>
    <x v="0"/>
    <d v="1963-04-06T00:00:00"/>
    <x v="1"/>
    <x v="1"/>
    <n v="35.9"/>
    <n v="61"/>
    <x v="0"/>
  </r>
  <r>
    <n v="87285460641"/>
    <s v="Christopher Ross"/>
    <x v="0"/>
    <x v="1"/>
    <s v="Finanças"/>
    <x v="1"/>
    <d v="1986-01-24T00:00:00"/>
    <x v="2"/>
    <x v="0"/>
    <n v="29.9"/>
    <n v="38"/>
    <x v="3"/>
  </r>
  <r>
    <n v="87414402435"/>
    <s v="Layla Torres"/>
    <x v="1"/>
    <x v="3"/>
    <s v="Agronegócio"/>
    <x v="1"/>
    <d v="1978-10-04T00:00:00"/>
    <x v="3"/>
    <x v="2"/>
    <n v="9.9"/>
    <n v="45"/>
    <x v="2"/>
  </r>
  <r>
    <n v="87420964182"/>
    <s v="Martin Dominguez"/>
    <x v="1"/>
    <x v="1"/>
    <s v="Esportes"/>
    <x v="2"/>
    <d v="1978-10-05T00:00:00"/>
    <x v="3"/>
    <x v="2"/>
    <n v="9.9"/>
    <n v="45"/>
    <x v="2"/>
  </r>
  <r>
    <n v="87436471754"/>
    <s v="Lucy Brooks"/>
    <x v="0"/>
    <x v="1"/>
    <s v="Economia"/>
    <x v="0"/>
    <d v="1960-02-04T00:00:00"/>
    <x v="3"/>
    <x v="0"/>
    <n v="29.9"/>
    <n v="64"/>
    <x v="0"/>
  </r>
  <r>
    <n v="87558717722"/>
    <s v="Bruno Gomes"/>
    <x v="0"/>
    <x v="1"/>
    <s v="Esportes"/>
    <x v="0"/>
    <d v="1978-12-21T00:00:00"/>
    <x v="3"/>
    <x v="2"/>
    <n v="9.9"/>
    <n v="45"/>
    <x v="2"/>
  </r>
  <r>
    <n v="87686193175"/>
    <s v="Mariana Gomes"/>
    <x v="1"/>
    <x v="0"/>
    <s v="Economia"/>
    <x v="1"/>
    <d v="1998-01-30T00:00:00"/>
    <x v="3"/>
    <x v="0"/>
    <n v="29.9"/>
    <n v="26"/>
    <x v="1"/>
  </r>
  <r>
    <n v="87868289945"/>
    <s v="Pedro Torres"/>
    <x v="0"/>
    <x v="1"/>
    <s v="Economia"/>
    <x v="2"/>
    <d v="1998-02-26T00:00:00"/>
    <x v="3"/>
    <x v="1"/>
    <n v="35.9"/>
    <n v="26"/>
    <x v="1"/>
  </r>
  <r>
    <n v="87892351305"/>
    <s v="Felipe Alves Pereira"/>
    <x v="0"/>
    <x v="1"/>
    <s v="Economia"/>
    <x v="0"/>
    <d v="1988-12-05T00:00:00"/>
    <x v="4"/>
    <x v="0"/>
    <n v="29.9"/>
    <n v="35"/>
    <x v="3"/>
  </r>
  <r>
    <n v="88165679068"/>
    <s v="Caleb Reed"/>
    <x v="0"/>
    <x v="3"/>
    <s v="Negócios"/>
    <x v="0"/>
    <d v="1988-01-25T00:00:00"/>
    <x v="0"/>
    <x v="0"/>
    <n v="29.9"/>
    <n v="36"/>
    <x v="3"/>
  </r>
  <r>
    <n v="88238264803"/>
    <s v="Mariana Santos"/>
    <x v="1"/>
    <x v="0"/>
    <s v="Esportes"/>
    <x v="2"/>
    <d v="1972-11-08T00:00:00"/>
    <x v="0"/>
    <x v="2"/>
    <n v="9.9"/>
    <n v="51"/>
    <x v="2"/>
  </r>
  <r>
    <n v="88285918314"/>
    <s v="Veronica Reyes"/>
    <x v="1"/>
    <x v="1"/>
    <s v="Economia"/>
    <x v="0"/>
    <d v="1989-03-18T00:00:00"/>
    <x v="0"/>
    <x v="2"/>
    <n v="9.9"/>
    <n v="35"/>
    <x v="3"/>
  </r>
  <r>
    <n v="88425685425"/>
    <s v="Eduardo Rodrigues"/>
    <x v="0"/>
    <x v="1"/>
    <s v="Agronegócio"/>
    <x v="0"/>
    <d v="1963-07-12T00:00:00"/>
    <x v="0"/>
    <x v="2"/>
    <n v="9.9"/>
    <n v="60"/>
    <x v="0"/>
  </r>
  <r>
    <n v="88756128664"/>
    <s v="John Cook"/>
    <x v="0"/>
    <x v="0"/>
    <s v="Negócios"/>
    <x v="0"/>
    <d v="1980-02-24T00:00:00"/>
    <x v="0"/>
    <x v="2"/>
    <n v="9.9"/>
    <n v="44"/>
    <x v="2"/>
  </r>
  <r>
    <n v="88896839501"/>
    <s v="Samantha Price"/>
    <x v="1"/>
    <x v="0"/>
    <s v="Negócios"/>
    <x v="0"/>
    <d v="1963-06-25T00:00:00"/>
    <x v="5"/>
    <x v="0"/>
    <n v="29.9"/>
    <n v="60"/>
    <x v="0"/>
  </r>
  <r>
    <n v="89152601477"/>
    <s v="Maria Elena Herrera"/>
    <x v="1"/>
    <x v="1"/>
    <s v="Negócios"/>
    <x v="0"/>
    <d v="1988-12-03T00:00:00"/>
    <x v="1"/>
    <x v="2"/>
    <n v="9.9"/>
    <n v="35"/>
    <x v="3"/>
  </r>
  <r>
    <n v="89207609844"/>
    <s v="Marcelo Costa"/>
    <x v="0"/>
    <x v="1"/>
    <s v="Política"/>
    <x v="1"/>
    <d v="1972-04-13T00:00:00"/>
    <x v="6"/>
    <x v="3"/>
    <n v="79.900000000000006"/>
    <n v="52"/>
    <x v="2"/>
  </r>
  <r>
    <n v="89438414320"/>
    <s v="Bruno Rodrigues"/>
    <x v="0"/>
    <x v="0"/>
    <s v="Negócios"/>
    <x v="0"/>
    <d v="1997-06-15T00:00:00"/>
    <x v="2"/>
    <x v="1"/>
    <n v="35.9"/>
    <n v="26"/>
    <x v="1"/>
  </r>
  <r>
    <n v="89439201236"/>
    <s v="James Lee"/>
    <x v="0"/>
    <x v="1"/>
    <s v="Negócios"/>
    <x v="1"/>
    <d v="1978-11-16T00:00:00"/>
    <x v="7"/>
    <x v="2"/>
    <n v="9.9"/>
    <n v="45"/>
    <x v="2"/>
  </r>
  <r>
    <n v="89576352486"/>
    <s v="Matthew Ward"/>
    <x v="0"/>
    <x v="0"/>
    <s v="Política"/>
    <x v="1"/>
    <d v="1995-04-11T00:00:00"/>
    <x v="5"/>
    <x v="3"/>
    <n v="79.900000000000006"/>
    <n v="29"/>
    <x v="1"/>
  </r>
  <r>
    <n v="89719385812"/>
    <s v="Bruno Pereira"/>
    <x v="0"/>
    <x v="3"/>
    <s v="Agronegócio"/>
    <x v="1"/>
    <d v="1967-11-25T00:00:00"/>
    <x v="4"/>
    <x v="2"/>
    <n v="9.9"/>
    <n v="56"/>
    <x v="0"/>
  </r>
  <r>
    <n v="89961852342"/>
    <s v="Bruno Santos"/>
    <x v="0"/>
    <x v="0"/>
    <s v="Economia"/>
    <x v="0"/>
    <d v="1980-08-14T00:00:00"/>
    <x v="3"/>
    <x v="2"/>
    <n v="9.9"/>
    <n v="43"/>
    <x v="3"/>
  </r>
  <r>
    <n v="90135135538"/>
    <s v="Maria Fernanda Guerra"/>
    <x v="1"/>
    <x v="2"/>
    <s v="Negócios"/>
    <x v="0"/>
    <d v="1963-10-12T00:00:00"/>
    <x v="5"/>
    <x v="1"/>
    <n v="35.9"/>
    <n v="60"/>
    <x v="0"/>
  </r>
  <r>
    <n v="90226137721"/>
    <s v="Liam Williams"/>
    <x v="0"/>
    <x v="0"/>
    <s v="Negócios"/>
    <x v="1"/>
    <d v="1974-04-23T00:00:00"/>
    <x v="4"/>
    <x v="3"/>
    <n v="79.900000000000006"/>
    <n v="50"/>
    <x v="2"/>
  </r>
  <r>
    <n v="90433255608"/>
    <s v="Marcelo Gomes"/>
    <x v="0"/>
    <x v="0"/>
    <s v="Economia"/>
    <x v="0"/>
    <d v="1973-01-08T00:00:00"/>
    <x v="3"/>
    <x v="0"/>
    <n v="29.9"/>
    <n v="51"/>
    <x v="2"/>
  </r>
  <r>
    <n v="90471108936"/>
    <s v="Emerson Silva"/>
    <x v="0"/>
    <x v="3"/>
    <s v="Agronegócio"/>
    <x v="2"/>
    <d v="1983-03-04T00:00:00"/>
    <x v="0"/>
    <x v="1"/>
    <n v="35.9"/>
    <n v="41"/>
    <x v="3"/>
  </r>
  <r>
    <n v="90676250589"/>
    <s v="Marcelo Almeida"/>
    <x v="0"/>
    <x v="3"/>
    <s v="Economia"/>
    <x v="2"/>
    <d v="1964-01-19T00:00:00"/>
    <x v="0"/>
    <x v="1"/>
    <n v="35.9"/>
    <n v="60"/>
    <x v="0"/>
  </r>
  <r>
    <n v="91279323809"/>
    <s v="Luiz Rodrigues"/>
    <x v="0"/>
    <x v="1"/>
    <s v="Economia"/>
    <x v="0"/>
    <d v="1975-02-18T00:00:00"/>
    <x v="0"/>
    <x v="2"/>
    <n v="9.9"/>
    <n v="49"/>
    <x v="2"/>
  </r>
  <r>
    <n v="91362501845"/>
    <s v="Maria Santos"/>
    <x v="1"/>
    <x v="0"/>
    <s v="Política"/>
    <x v="0"/>
    <d v="1977-09-26T00:00:00"/>
    <x v="0"/>
    <x v="3"/>
    <n v="79.900000000000006"/>
    <n v="46"/>
    <x v="2"/>
  </r>
  <r>
    <n v="91518429185"/>
    <s v="Bernardo Costa"/>
    <x v="0"/>
    <x v="3"/>
    <s v="Negócios"/>
    <x v="0"/>
    <d v="1987-03-04T00:00:00"/>
    <x v="0"/>
    <x v="0"/>
    <n v="29.9"/>
    <n v="37"/>
    <x v="3"/>
  </r>
  <r>
    <n v="92217554531"/>
    <s v="Oliver Thompson"/>
    <x v="0"/>
    <x v="1"/>
    <s v="Negócios"/>
    <x v="1"/>
    <d v="1980-11-23T00:00:00"/>
    <x v="0"/>
    <x v="2"/>
    <n v="9.9"/>
    <n v="43"/>
    <x v="3"/>
  </r>
  <r>
    <n v="92420051701"/>
    <s v="Vilma Rodrigues"/>
    <x v="1"/>
    <x v="3"/>
    <s v="Negócios"/>
    <x v="2"/>
    <d v="1997-06-13T00:00:00"/>
    <x v="0"/>
    <x v="2"/>
    <n v="9.9"/>
    <n v="26"/>
    <x v="1"/>
  </r>
  <r>
    <n v="92500013367"/>
    <s v="William Silva"/>
    <x v="0"/>
    <x v="2"/>
    <s v="Negócios"/>
    <x v="2"/>
    <d v="1962-03-16T00:00:00"/>
    <x v="0"/>
    <x v="0"/>
    <n v="29.9"/>
    <n v="62"/>
    <x v="0"/>
  </r>
  <r>
    <n v="92768661715"/>
    <s v="Stella Ross"/>
    <x v="1"/>
    <x v="0"/>
    <s v="Agronegócio"/>
    <x v="2"/>
    <d v="1985-01-31T00:00:00"/>
    <x v="0"/>
    <x v="3"/>
    <n v="79.900000000000006"/>
    <n v="39"/>
    <x v="3"/>
  </r>
  <r>
    <n v="92851862378"/>
    <s v="Letícia Gomes"/>
    <x v="1"/>
    <x v="3"/>
    <s v="Negócios"/>
    <x v="0"/>
    <d v="1984-07-09T00:00:00"/>
    <x v="1"/>
    <x v="1"/>
    <n v="35.9"/>
    <n v="39"/>
    <x v="3"/>
  </r>
  <r>
    <n v="92908961862"/>
    <s v="Giovanna Oliveira"/>
    <x v="1"/>
    <x v="2"/>
    <s v="Finanças"/>
    <x v="0"/>
    <d v="1973-06-26T00:00:00"/>
    <x v="2"/>
    <x v="0"/>
    <n v="29.9"/>
    <n v="50"/>
    <x v="2"/>
  </r>
  <r>
    <n v="92967114176"/>
    <s v="Marcelo Oliveira"/>
    <x v="0"/>
    <x v="2"/>
    <s v="Finanças"/>
    <x v="0"/>
    <d v="1993-07-20T00:00:00"/>
    <x v="3"/>
    <x v="0"/>
    <n v="29.9"/>
    <n v="30"/>
    <x v="1"/>
  </r>
  <r>
    <n v="93080185386"/>
    <s v="Clara Almeida"/>
    <x v="1"/>
    <x v="3"/>
    <s v="Finanças"/>
    <x v="2"/>
    <d v="1967-12-03T00:00:00"/>
    <x v="3"/>
    <x v="0"/>
    <n v="29.9"/>
    <n v="56"/>
    <x v="0"/>
  </r>
  <r>
    <n v="93087822464"/>
    <s v="Camila Oliveira"/>
    <x v="1"/>
    <x v="0"/>
    <s v="Finanças"/>
    <x v="0"/>
    <d v="1981-06-03T00:00:00"/>
    <x v="3"/>
    <x v="0"/>
    <n v="29.9"/>
    <n v="42"/>
    <x v="3"/>
  </r>
  <r>
    <n v="93174372517"/>
    <s v="Marisol Ponce"/>
    <x v="1"/>
    <x v="0"/>
    <s v="Política"/>
    <x v="1"/>
    <d v="1978-05-23T00:00:00"/>
    <x v="3"/>
    <x v="3"/>
    <n v="79.900000000000006"/>
    <n v="45"/>
    <x v="2"/>
  </r>
  <r>
    <n v="93661850588"/>
    <s v="Rita Fernandes"/>
    <x v="1"/>
    <x v="1"/>
    <s v="Negócios"/>
    <x v="2"/>
    <d v="1982-11-16T00:00:00"/>
    <x v="3"/>
    <x v="0"/>
    <n v="29.9"/>
    <n v="41"/>
    <x v="3"/>
  </r>
  <r>
    <n v="94266497658"/>
    <s v="Rosa Molina"/>
    <x v="0"/>
    <x v="0"/>
    <s v="Agronegócio"/>
    <x v="0"/>
    <d v="1992-04-21T00:00:00"/>
    <x v="3"/>
    <x v="1"/>
    <n v="35.9"/>
    <n v="32"/>
    <x v="1"/>
  </r>
  <r>
    <n v="94367151573"/>
    <s v="Fernando Rios"/>
    <x v="0"/>
    <x v="1"/>
    <s v="Negócios"/>
    <x v="1"/>
    <d v="1982-07-22T00:00:00"/>
    <x v="4"/>
    <x v="2"/>
    <n v="9.9"/>
    <n v="41"/>
    <x v="3"/>
  </r>
  <r>
    <n v="94460718865"/>
    <s v="Patrícia Costa"/>
    <x v="1"/>
    <x v="1"/>
    <s v="Negócios"/>
    <x v="1"/>
    <d v="1965-10-20T00:00:00"/>
    <x v="0"/>
    <x v="0"/>
    <n v="29.9"/>
    <n v="58"/>
    <x v="0"/>
  </r>
  <r>
    <n v="94559470168"/>
    <s v="Rita Gomes"/>
    <x v="1"/>
    <x v="0"/>
    <s v="Negócios"/>
    <x v="1"/>
    <d v="1998-12-20T00:00:00"/>
    <x v="0"/>
    <x v="2"/>
    <n v="9.9"/>
    <n v="25"/>
    <x v="1"/>
  </r>
  <r>
    <n v="94583059920"/>
    <s v="Elena Morales"/>
    <x v="1"/>
    <x v="3"/>
    <s v="Economia"/>
    <x v="2"/>
    <d v="1978-03-29T00:00:00"/>
    <x v="0"/>
    <x v="1"/>
    <n v="35.9"/>
    <n v="46"/>
    <x v="2"/>
  </r>
  <r>
    <n v="94654130097"/>
    <s v="Vilma Silva"/>
    <x v="1"/>
    <x v="3"/>
    <s v="Negócios"/>
    <x v="1"/>
    <d v="1995-07-14T00:00:00"/>
    <x v="0"/>
    <x v="0"/>
    <n v="29.9"/>
    <n v="28"/>
    <x v="1"/>
  </r>
  <r>
    <n v="95202710429"/>
    <s v="Mason Anderson"/>
    <x v="1"/>
    <x v="0"/>
    <s v="Finanças"/>
    <x v="1"/>
    <d v="1966-07-12T00:00:00"/>
    <x v="0"/>
    <x v="0"/>
    <n v="29.9"/>
    <n v="57"/>
    <x v="0"/>
  </r>
  <r>
    <n v="95305432346"/>
    <s v="Sergio Camacho"/>
    <x v="1"/>
    <x v="0"/>
    <s v="Negócios"/>
    <x v="0"/>
    <d v="1974-01-17T00:00:00"/>
    <x v="5"/>
    <x v="0"/>
    <n v="29.9"/>
    <n v="50"/>
    <x v="2"/>
  </r>
  <r>
    <n v="95580971716"/>
    <s v="Marcelo Martins"/>
    <x v="0"/>
    <x v="0"/>
    <s v="Economia"/>
    <x v="0"/>
    <d v="1989-11-23T00:00:00"/>
    <x v="1"/>
    <x v="0"/>
    <n v="29.9"/>
    <n v="34"/>
    <x v="1"/>
  </r>
  <r>
    <n v="95596945437"/>
    <s v="Jesus Martinez"/>
    <x v="0"/>
    <x v="1"/>
    <s v="Esportes"/>
    <x v="0"/>
    <d v="1996-01-28T00:00:00"/>
    <x v="6"/>
    <x v="2"/>
    <n v="9.9"/>
    <n v="28"/>
    <x v="1"/>
  </r>
  <r>
    <n v="95707970101"/>
    <s v="Gustavo Neves"/>
    <x v="0"/>
    <x v="3"/>
    <s v="Agronegócio"/>
    <x v="0"/>
    <d v="1964-10-05T00:00:00"/>
    <x v="2"/>
    <x v="3"/>
    <n v="79.900000000000006"/>
    <n v="59"/>
    <x v="0"/>
  </r>
  <r>
    <n v="95717759227"/>
    <s v="Bruno Martins"/>
    <x v="0"/>
    <x v="0"/>
    <s v="Negócios"/>
    <x v="1"/>
    <d v="1985-07-26T00:00:00"/>
    <x v="7"/>
    <x v="3"/>
    <n v="79.900000000000006"/>
    <n v="38"/>
    <x v="3"/>
  </r>
  <r>
    <n v="95777582172"/>
    <s v="Isabel Ramos"/>
    <x v="1"/>
    <x v="1"/>
    <s v="Finanças"/>
    <x v="1"/>
    <d v="1989-09-18T00:00:00"/>
    <x v="5"/>
    <x v="0"/>
    <n v="29.9"/>
    <n v="34"/>
    <x v="1"/>
  </r>
  <r>
    <n v="96142770610"/>
    <s v="Eva Foster"/>
    <x v="1"/>
    <x v="0"/>
    <s v="Economia"/>
    <x v="0"/>
    <d v="1966-04-20T00:00:00"/>
    <x v="4"/>
    <x v="1"/>
    <n v="35.9"/>
    <n v="58"/>
    <x v="0"/>
  </r>
  <r>
    <n v="96189222892"/>
    <s v="Pedro Silva"/>
    <x v="0"/>
    <x v="1"/>
    <s v="Agronegócio"/>
    <x v="2"/>
    <d v="1976-04-12T00:00:00"/>
    <x v="3"/>
    <x v="3"/>
    <n v="79.900000000000006"/>
    <n v="48"/>
    <x v="2"/>
  </r>
  <r>
    <n v="96207993803"/>
    <s v="Ava Davis"/>
    <x v="1"/>
    <x v="0"/>
    <s v="Economia"/>
    <x v="0"/>
    <d v="1987-07-13T00:00:00"/>
    <x v="5"/>
    <x v="1"/>
    <n v="35.9"/>
    <n v="36"/>
    <x v="3"/>
  </r>
  <r>
    <n v="96469060945"/>
    <s v="Mariana Almeida"/>
    <x v="1"/>
    <x v="3"/>
    <s v="Economia"/>
    <x v="1"/>
    <d v="1970-09-19T00:00:00"/>
    <x v="4"/>
    <x v="1"/>
    <n v="35.9"/>
    <n v="53"/>
    <x v="2"/>
  </r>
  <r>
    <n v="96498559182"/>
    <s v="Amanda Costa Almeida"/>
    <x v="1"/>
    <x v="0"/>
    <s v="Negócios"/>
    <x v="1"/>
    <d v="1987-05-26T00:00:00"/>
    <x v="3"/>
    <x v="2"/>
    <n v="9.9"/>
    <n v="36"/>
    <x v="3"/>
  </r>
  <r>
    <n v="96683513690"/>
    <s v="Rafael Ferreira"/>
    <x v="0"/>
    <x v="1"/>
    <s v="Economia"/>
    <x v="2"/>
    <d v="1994-10-24T00:00:00"/>
    <x v="0"/>
    <x v="0"/>
    <n v="29.9"/>
    <n v="29"/>
    <x v="1"/>
  </r>
  <r>
    <n v="96690867763"/>
    <s v="João Almeida"/>
    <x v="0"/>
    <x v="1"/>
    <s v="Economia"/>
    <x v="2"/>
    <d v="1964-12-29T00:00:00"/>
    <x v="0"/>
    <x v="1"/>
    <n v="35.9"/>
    <n v="59"/>
    <x v="0"/>
  </r>
  <r>
    <n v="96730763444"/>
    <s v="Sandra Silva"/>
    <x v="1"/>
    <x v="4"/>
    <s v="Economia"/>
    <x v="1"/>
    <d v="1976-06-06T00:00:00"/>
    <x v="0"/>
    <x v="2"/>
    <n v="9.9"/>
    <n v="47"/>
    <x v="2"/>
  </r>
  <r>
    <n v="96777910303"/>
    <s v="Daniel Pereira"/>
    <x v="0"/>
    <x v="1"/>
    <s v="Esportes"/>
    <x v="0"/>
    <d v="1962-02-07T00:00:00"/>
    <x v="0"/>
    <x v="0"/>
    <n v="29.9"/>
    <n v="62"/>
    <x v="0"/>
  </r>
  <r>
    <n v="97043215141"/>
    <s v="Thomas Barnes"/>
    <x v="0"/>
    <x v="2"/>
    <s v="Política"/>
    <x v="1"/>
    <d v="1980-05-16T00:00:00"/>
    <x v="0"/>
    <x v="3"/>
    <n v="79.900000000000006"/>
    <n v="44"/>
    <x v="2"/>
  </r>
  <r>
    <n v="97361141928"/>
    <s v="Julio Cesar Juarez"/>
    <x v="0"/>
    <x v="1"/>
    <s v="Economia"/>
    <x v="2"/>
    <d v="1987-12-12T00:00:00"/>
    <x v="0"/>
    <x v="0"/>
    <n v="29.9"/>
    <n v="36"/>
    <x v="3"/>
  </r>
  <r>
    <n v="97520904627"/>
    <s v="Roberto Fuentes"/>
    <x v="0"/>
    <x v="2"/>
    <s v="Negócios"/>
    <x v="0"/>
    <d v="1978-11-18T00:00:00"/>
    <x v="0"/>
    <x v="2"/>
    <n v="9.9"/>
    <n v="45"/>
    <x v="2"/>
  </r>
  <r>
    <n v="97854794245"/>
    <s v="Emerson Gomes"/>
    <x v="0"/>
    <x v="1"/>
    <s v="Negócios"/>
    <x v="1"/>
    <d v="1986-06-03T00:00:00"/>
    <x v="0"/>
    <x v="0"/>
    <n v="29.9"/>
    <n v="37"/>
    <x v="3"/>
  </r>
  <r>
    <n v="97867342326"/>
    <s v="Fabiana Oliveira"/>
    <x v="1"/>
    <x v="0"/>
    <s v="Negócios"/>
    <x v="0"/>
    <d v="1989-12-30T00:00:00"/>
    <x v="0"/>
    <x v="3"/>
    <n v="79.900000000000006"/>
    <n v="34"/>
    <x v="1"/>
  </r>
  <r>
    <n v="97913428100"/>
    <s v="Gabriela Torres"/>
    <x v="1"/>
    <x v="2"/>
    <s v="Finanças"/>
    <x v="0"/>
    <d v="1999-10-18T00:00:00"/>
    <x v="1"/>
    <x v="0"/>
    <n v="29.9"/>
    <n v="24"/>
    <x v="1"/>
  </r>
  <r>
    <n v="98024981881"/>
    <s v="Renata Almeida"/>
    <x v="1"/>
    <x v="1"/>
    <s v="Finanças"/>
    <x v="1"/>
    <d v="1965-12-01T00:00:00"/>
    <x v="2"/>
    <x v="0"/>
    <n v="29.9"/>
    <n v="58"/>
    <x v="0"/>
  </r>
  <r>
    <n v="98384039664"/>
    <s v="Bernardo Fernandes"/>
    <x v="0"/>
    <x v="0"/>
    <s v="Finanças"/>
    <x v="0"/>
    <d v="1997-02-07T00:00:00"/>
    <x v="3"/>
    <x v="0"/>
    <n v="29.9"/>
    <n v="27"/>
    <x v="1"/>
  </r>
  <r>
    <n v="98413368768"/>
    <s v="Bernardo Martins"/>
    <x v="0"/>
    <x v="1"/>
    <s v="Negócios"/>
    <x v="1"/>
    <d v="1994-10-22T00:00:00"/>
    <x v="3"/>
    <x v="2"/>
    <n v="9.9"/>
    <n v="29"/>
    <x v="1"/>
  </r>
  <r>
    <n v="98697109512"/>
    <s v="Ramon Flores"/>
    <x v="0"/>
    <x v="2"/>
    <s v="Esportes"/>
    <x v="2"/>
    <d v="1989-01-15T00:00:00"/>
    <x v="3"/>
    <x v="2"/>
    <n v="9.9"/>
    <n v="35"/>
    <x v="3"/>
  </r>
  <r>
    <n v="99005827580"/>
    <s v="Alejandra Herrera"/>
    <x v="1"/>
    <x v="0"/>
    <s v="Economia"/>
    <x v="0"/>
    <d v="1970-10-29T00:00:00"/>
    <x v="3"/>
    <x v="1"/>
    <n v="35.9"/>
    <n v="53"/>
    <x v="2"/>
  </r>
  <r>
    <n v="99052709620"/>
    <s v="Julian Russell"/>
    <x v="1"/>
    <x v="4"/>
    <s v="Negócios"/>
    <x v="0"/>
    <d v="1993-08-11T00:00:00"/>
    <x v="3"/>
    <x v="2"/>
    <n v="9.9"/>
    <n v="30"/>
    <x v="1"/>
  </r>
  <r>
    <n v="99391394012"/>
    <s v="Mariana Souza"/>
    <x v="1"/>
    <x v="0"/>
    <s v="Negócios"/>
    <x v="0"/>
    <d v="1999-06-01T00:00:00"/>
    <x v="3"/>
    <x v="1"/>
    <n v="35.9"/>
    <n v="24"/>
    <x v="1"/>
  </r>
  <r>
    <n v="99587124171"/>
    <s v="Landon Gray"/>
    <x v="1"/>
    <x v="1"/>
    <s v="Negócios"/>
    <x v="1"/>
    <d v="1976-12-18T00:00:00"/>
    <x v="4"/>
    <x v="0"/>
    <n v="29.9"/>
    <n v="47"/>
    <x v="2"/>
  </r>
  <r>
    <n v="99659049071"/>
    <s v="Isaac Henderson"/>
    <x v="0"/>
    <x v="0"/>
    <s v="Finanças"/>
    <x v="0"/>
    <d v="1996-06-13T00:00:00"/>
    <x v="0"/>
    <x v="0"/>
    <n v="29.9"/>
    <n v="27"/>
    <x v="1"/>
  </r>
  <r>
    <n v="99687496489"/>
    <s v="Tristan Perry"/>
    <x v="0"/>
    <x v="3"/>
    <s v="Negócios"/>
    <x v="0"/>
    <d v="1996-04-08T00:00:00"/>
    <x v="0"/>
    <x v="1"/>
    <n v="35.9"/>
    <n v="2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3B9216-9FBE-4CF3-A6A0-4FC686210D06}" name="AVALIAÇÃO_CLIENTE" cacheId="0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>
  <location ref="AA5:AB13" firstHeaderRow="1" firstDataRow="1" firstDataCol="1"/>
  <pivotFields count="12">
    <pivotField numFmtId="164"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numFmtId="14" showAll="0"/>
    <pivotField axis="axisRow" dataField="1" showAll="0" sortType="descending">
      <items count="9">
        <item x="3"/>
        <item x="5"/>
        <item x="7"/>
        <item x="2"/>
        <item x="4"/>
        <item x="6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1"/>
        <item x="2"/>
        <item x="3"/>
        <item x="0"/>
        <item t="default"/>
      </items>
    </pivotField>
    <pivotField numFmtId="165" showAll="0"/>
    <pivotField showAll="0"/>
    <pivotField showAll="0">
      <items count="5">
        <item x="1"/>
        <item x="3"/>
        <item x="2"/>
        <item x="0"/>
        <item t="default"/>
      </items>
    </pivotField>
  </pivotFields>
  <rowFields count="1">
    <field x="7"/>
  </rowFields>
  <rowItems count="8">
    <i>
      <x v="6"/>
    </i>
    <i>
      <x/>
    </i>
    <i>
      <x v="4"/>
    </i>
    <i>
      <x v="1"/>
    </i>
    <i>
      <x v="7"/>
    </i>
    <i>
      <x v="3"/>
    </i>
    <i>
      <x v="5"/>
    </i>
    <i>
      <x v="2"/>
    </i>
  </rowItems>
  <colItems count="1">
    <i/>
  </colItems>
  <dataFields count="1">
    <dataField name="Contagem de Avaliação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711AB2-4BFC-48C7-978F-63C75489A7B4}" name="REGIONAL" cacheId="0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>
  <location ref="U5:V8" firstHeaderRow="1" firstDataRow="1" firstDataCol="1"/>
  <pivotFields count="12">
    <pivotField numFmtId="164" showAll="0"/>
    <pivotField showAll="0"/>
    <pivotField showAll="0">
      <items count="3">
        <item x="1"/>
        <item x="0"/>
        <item t="default"/>
      </items>
    </pivotField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numFmtId="14" showAll="0"/>
    <pivotField showAll="0"/>
    <pivotField showAll="0">
      <items count="5">
        <item x="1"/>
        <item x="2"/>
        <item x="3"/>
        <item x="0"/>
        <item t="default"/>
      </items>
    </pivotField>
    <pivotField numFmtId="165" showAll="0"/>
    <pivotField showAll="0"/>
    <pivotField showAll="0">
      <items count="5">
        <item x="1"/>
        <item x="3"/>
        <item x="2"/>
        <item x="0"/>
        <item t="default"/>
      </items>
    </pivotField>
  </pivotFields>
  <rowFields count="1">
    <field x="5"/>
  </rowFields>
  <rowItems count="3">
    <i>
      <x/>
    </i>
    <i>
      <x v="1"/>
    </i>
    <i>
      <x v="2"/>
    </i>
  </rowItems>
  <colItems count="1">
    <i/>
  </colItems>
  <dataFields count="1">
    <dataField name="Contagem de Região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CF3C9D-29E0-44F6-B0BA-39543D14185A}" name="PRODUTO" cacheId="0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>
  <location ref="O5:P9" firstHeaderRow="1" firstDataRow="1" firstDataCol="1"/>
  <pivotFields count="12">
    <pivotField numFmtId="164"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numFmtId="14" showAll="0"/>
    <pivotField showAll="0"/>
    <pivotField axis="axisRow" dataField="1" showAll="0" sortType="descending">
      <items count="5">
        <item x="1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showAll="0"/>
    <pivotField showAll="0">
      <items count="5">
        <item x="1"/>
        <item x="3"/>
        <item x="2"/>
        <item x="0"/>
        <item t="default"/>
      </items>
    </pivotField>
  </pivotFields>
  <rowFields count="1">
    <field x="8"/>
  </rowFields>
  <rowItems count="4">
    <i>
      <x v="1"/>
    </i>
    <i>
      <x v="3"/>
    </i>
    <i>
      <x/>
    </i>
    <i>
      <x v="2"/>
    </i>
  </rowItems>
  <colItems count="1">
    <i/>
  </colItems>
  <dataFields count="1">
    <dataField name="Contagem de Assinatura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421C8D-F895-4F75-9CD8-4DF5283088E0}" name="GENERO_FAIXA_ETARIA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I5:L11" firstHeaderRow="1" firstDataRow="2" firstDataCol="1"/>
  <pivotFields count="12">
    <pivotField numFmtId="164"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numFmtId="14" showAll="0"/>
    <pivotField showAll="0"/>
    <pivotField showAll="0">
      <items count="5">
        <item x="1"/>
        <item x="2"/>
        <item x="3"/>
        <item x="0"/>
        <item t="default"/>
      </items>
    </pivotField>
    <pivotField numFmtId="165" showAll="0"/>
    <pivotField showAll="0"/>
    <pivotField axis="axisRow" showAll="0">
      <items count="5">
        <item x="1"/>
        <item x="3"/>
        <item x="2"/>
        <item x="0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ntagem de Gênero" fld="2" subtotal="count" baseField="0" baseItem="0"/>
  </dataFields>
  <chartFormats count="6"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CC733E-CF06-41AE-9FEA-353BFA32E5ED}" name="BASE_TOTAL" cacheId="0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>
  <location ref="B5:C7" firstHeaderRow="1" firstDataRow="1" firstDataCol="1"/>
  <pivotFields count="12">
    <pivotField numFmtId="164" showAll="0"/>
    <pivotField showAll="0"/>
    <pivotField axis="axisRow" dataField="1" showAll="0">
      <items count="3">
        <item x="1"/>
        <item x="0"/>
        <item t="default"/>
      </items>
    </pivotField>
    <pivotField showAll="0">
      <items count="6">
        <item x="4"/>
        <item x="0"/>
        <item x="2"/>
        <item x="3"/>
        <item x="1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numFmtId="14" showAll="0"/>
    <pivotField showAll="0"/>
    <pivotField showAll="0">
      <items count="5">
        <item x="1"/>
        <item x="2"/>
        <item x="3"/>
        <item x="0"/>
        <item t="default"/>
      </items>
    </pivotField>
    <pivotField numFmtId="165" showAll="0"/>
    <pivotField showAll="0"/>
    <pivotField showAll="0">
      <items count="5">
        <item x="1"/>
        <item x="3"/>
        <item x="2"/>
        <item x="0"/>
        <item t="default"/>
      </items>
    </pivotField>
  </pivotFields>
  <rowFields count="1">
    <field x="2"/>
  </rowFields>
  <rowItems count="2">
    <i>
      <x/>
    </i>
    <i>
      <x v="1"/>
    </i>
  </rowItems>
  <colItems count="1">
    <i/>
  </colItems>
  <dataFields count="1">
    <dataField name="Contagem de Gênero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42BD6B-B4F2-4156-B67F-54280E22637F}" name="RECEITA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G5:AG6" firstHeaderRow="1" firstDataRow="1" firstDataCol="0"/>
  <pivotFields count="12">
    <pivotField numFmtId="164"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numFmtId="14" showAll="0"/>
    <pivotField showAll="0"/>
    <pivotField showAll="0">
      <items count="5">
        <item x="1"/>
        <item x="2"/>
        <item x="3"/>
        <item x="0"/>
        <item t="default"/>
      </items>
    </pivotField>
    <pivotField dataField="1" numFmtId="165" showAll="0"/>
    <pivotField showAll="0"/>
    <pivotField showAll="0">
      <items count="5">
        <item x="1"/>
        <item x="3"/>
        <item x="2"/>
        <item x="0"/>
        <item t="default"/>
      </items>
    </pivotField>
  </pivotFields>
  <rowItems count="1">
    <i/>
  </rowItems>
  <colItems count="1">
    <i/>
  </colItems>
  <dataFields count="1">
    <dataField name=" Mensalidades" fld="9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ão" xr10:uid="{5B1B8FF6-059B-4EA1-A6F7-43D8CC5BECB1}" sourceName="Região">
  <pivotTables>
    <pivotTable tabId="8" name="BASE_TOTAL"/>
    <pivotTable tabId="8" name="AVALIAÇÃO_CLIENTE"/>
    <pivotTable tabId="8" name="GENERO_FAIXA_ETARIA"/>
    <pivotTable tabId="8" name="PRODUTO"/>
    <pivotTable tabId="8" name="RECEITA"/>
  </pivotTables>
  <data>
    <tabular pivotCacheId="1533132972">
      <items count="3"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ssinatura" xr10:uid="{467B8161-E5CF-4884-8EC6-B8B7C999BF14}" sourceName="Assinatura">
  <pivotTables>
    <pivotTable tabId="8" name="BASE_TOTAL"/>
    <pivotTable tabId="8" name="AVALIAÇÃO_CLIENTE"/>
    <pivotTable tabId="8" name="GENERO_FAIXA_ETARIA"/>
    <pivotTable tabId="8" name="RECEITA"/>
    <pivotTable tabId="8" name="REGIONAL"/>
  </pivotTables>
  <data>
    <tabular pivotCacheId="1533132972">
      <items count="4">
        <i x="1" s="1"/>
        <i x="2" s="1"/>
        <i x="3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Faixa_Etária" xr10:uid="{7ABF26B4-0EE8-4961-95F8-54F7D830AA69}" sourceName="Faixa-Etária">
  <pivotTables>
    <pivotTable tabId="8" name="BASE_TOTAL"/>
    <pivotTable tabId="8" name="AVALIAÇÃO_CLIENTE"/>
    <pivotTable tabId="8" name="PRODUTO"/>
    <pivotTable tabId="8" name="RECEITA"/>
    <pivotTable tabId="8" name="REGIONAL"/>
  </pivotTables>
  <data>
    <tabular pivotCacheId="1533132972">
      <items count="4">
        <i x="1" s="1"/>
        <i x="3" s="1"/>
        <i x="2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Gênero" xr10:uid="{4004F79E-0A16-4A32-BDF1-128093E50CF8}" sourceName="Gênero">
  <pivotTables>
    <pivotTable tabId="8" name="PRODUTO"/>
    <pivotTable tabId="8" name="AVALIAÇÃO_CLIENTE"/>
    <pivotTable tabId="8" name="RECEITA"/>
    <pivotTable tabId="8" name="REGIONAL"/>
  </pivotTables>
  <data>
    <tabular pivotCacheId="1533132972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ão" xr10:uid="{9644F018-CF8F-4228-945B-6B1079E911A1}" cache="SegmentaçãodeDados_Região" caption="Região" style="Seg_Formatação" rowHeight="247650"/>
  <slicer name="Assinatura" xr10:uid="{972F4D61-98A0-4850-AC5E-A1FBA7A2546E}" cache="SegmentaçãodeDados_Assinatura" caption="Assinatura" style="Seg_Formatação" rowHeight="247650"/>
  <slicer name="Faixa-Etária" xr10:uid="{EBA672B3-9789-4AA1-9A83-45D51EC66D76}" cache="SegmentaçãodeDados_Faixa_Etária" caption="Faixa-Etária" style="Seg_Formatação" rowHeight="247650"/>
  <slicer name="Gênero" xr10:uid="{75218DCE-A018-44C3-AC6A-AABB467ECEDF}" cache="SegmentaçãodeDados_Gênero" caption="Gênero" columnCount="2" style="Seg_Formatação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17B602-3726-47B4-A7A5-0487CFA4E4E8}" name="tBase" displayName="tBase" ref="B2:M804" totalsRowShown="0" headerRowDxfId="6">
  <autoFilter ref="B2:M804" xr:uid="{6417B602-3726-47B4-A7A5-0487CFA4E4E8}"/>
  <tableColumns count="12">
    <tableColumn id="1" xr3:uid="{4B77E003-B47E-4E57-BCD6-317ABB4097B4}" name="CPF" dataDxfId="5"/>
    <tableColumn id="2" xr3:uid="{DAC15098-E30F-4987-AA8A-14A3CE941806}" name="Nome"/>
    <tableColumn id="3" xr3:uid="{2F359C51-DAAA-4A1A-BC69-EF2332FB2CCD}" name="Gênero"/>
    <tableColumn id="4" xr3:uid="{97E74346-BEBB-44D6-8505-2E82BE9E95EF}" name="Nivel de Estudos"/>
    <tableColumn id="5" xr3:uid="{BEF216FD-E682-4116-8865-0CAC83510997}" name="Interesse/Hobbie"/>
    <tableColumn id="6" xr3:uid="{86004E52-8790-4B66-8D91-7EF9C9CEEF6C}" name="Região"/>
    <tableColumn id="7" xr3:uid="{659E180D-2F27-463E-B66B-A7B0BF792426}" name="Data Nascimento" dataDxfId="4"/>
    <tableColumn id="8" xr3:uid="{F3CF0B6B-B55E-4ACE-8C65-37A2BFC56461}" name="Avaliação" dataDxfId="3"/>
    <tableColumn id="9" xr3:uid="{2E4EF9D4-57A3-4A47-B113-9D9BC4B35074}" name="Assinatura"/>
    <tableColumn id="10" xr3:uid="{BE76B97E-F4FA-4B1F-9020-80F586A0D6A5}" name="Mensalidades" dataDxfId="2"/>
    <tableColumn id="11" xr3:uid="{33F21282-A253-49E8-994C-A970D96AFE98}" name="Idade" dataDxfId="1">
      <calculatedColumnFormula>TRUNC((TODAY()-tBase[[#This Row],[Data Nascimento]])/365)</calculatedColumnFormula>
    </tableColumn>
    <tableColumn id="12" xr3:uid="{5E426C45-FA7C-4CC6-99F2-D04ED25D5325}" name="Faixa-Etária" dataDxfId="0">
      <calculatedColumnFormula>HLOOKUP(tBase[[#This Row],[Idade]],$O$3:$R$4,2,TRUE)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Assinantes2">
      <a:dk1>
        <a:sysClr val="windowText" lastClr="000000"/>
      </a:dk1>
      <a:lt1>
        <a:sysClr val="window" lastClr="FFFFFF"/>
      </a:lt1>
      <a:dk2>
        <a:srgbClr val="100625"/>
      </a:dk2>
      <a:lt2>
        <a:srgbClr val="372561"/>
      </a:lt2>
      <a:accent1>
        <a:srgbClr val="E85A7B"/>
      </a:accent1>
      <a:accent2>
        <a:srgbClr val="6477F2"/>
      </a:accent2>
      <a:accent3>
        <a:srgbClr val="58407D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77CBE-7228-4EF2-AF4C-F5E7D3363989}">
  <sheetPr>
    <tabColor theme="9"/>
  </sheetPr>
  <dimension ref="B2:R804"/>
  <sheetViews>
    <sheetView workbookViewId="0">
      <selection activeCell="M3" sqref="M3"/>
    </sheetView>
  </sheetViews>
  <sheetFormatPr defaultRowHeight="15"/>
  <cols>
    <col min="1" max="1" width="0.42578125" customWidth="1"/>
    <col min="2" max="2" width="14.85546875" customWidth="1"/>
    <col min="3" max="3" width="22.5703125" bestFit="1" customWidth="1"/>
    <col min="4" max="4" width="9.28515625" bestFit="1" customWidth="1"/>
    <col min="5" max="5" width="16.5703125" customWidth="1"/>
    <col min="6" max="6" width="17.28515625" customWidth="1"/>
    <col min="7" max="7" width="15.140625" bestFit="1" customWidth="1"/>
    <col min="8" max="8" width="17.28515625" customWidth="1"/>
    <col min="9" max="9" width="19.7109375" bestFit="1" customWidth="1"/>
    <col min="10" max="10" width="20.5703125" bestFit="1" customWidth="1"/>
    <col min="11" max="11" width="20.28515625" customWidth="1"/>
    <col min="12" max="13" width="15.42578125" customWidth="1"/>
    <col min="14" max="14" width="16.85546875" customWidth="1"/>
    <col min="15" max="15" width="11.85546875" customWidth="1"/>
    <col min="16" max="18" width="10.7109375" customWidth="1"/>
  </cols>
  <sheetData>
    <row r="2" spans="2:18">
      <c r="B2" s="18" t="s">
        <v>2</v>
      </c>
      <c r="C2" s="18" t="s">
        <v>0</v>
      </c>
      <c r="D2" s="18" t="s">
        <v>1</v>
      </c>
      <c r="E2" s="18" t="s">
        <v>3</v>
      </c>
      <c r="F2" s="18" t="s">
        <v>10</v>
      </c>
      <c r="G2" s="18" t="s">
        <v>419</v>
      </c>
      <c r="H2" s="18" t="s">
        <v>4</v>
      </c>
      <c r="I2" s="18" t="s">
        <v>428</v>
      </c>
      <c r="J2" s="18" t="s">
        <v>452</v>
      </c>
      <c r="K2" s="18" t="s">
        <v>457</v>
      </c>
      <c r="L2" s="18" t="s">
        <v>458</v>
      </c>
      <c r="M2" s="18" t="s">
        <v>459</v>
      </c>
      <c r="O2" s="7" t="s">
        <v>445</v>
      </c>
    </row>
    <row r="3" spans="2:18">
      <c r="B3" s="19">
        <v>22251128276</v>
      </c>
      <c r="C3" t="s">
        <v>135</v>
      </c>
      <c r="D3" t="s">
        <v>6</v>
      </c>
      <c r="E3" t="s">
        <v>417</v>
      </c>
      <c r="F3" t="s">
        <v>9</v>
      </c>
      <c r="G3" t="s">
        <v>425</v>
      </c>
      <c r="H3" s="1">
        <v>21118</v>
      </c>
      <c r="I3" s="1" t="s">
        <v>433</v>
      </c>
      <c r="J3" t="s">
        <v>453</v>
      </c>
      <c r="K3" s="20">
        <v>29.9</v>
      </c>
      <c r="L3">
        <f ca="1">TRUNC((TODAY()-tBase[[#This Row],[Data Nascimento]])/365)</f>
        <v>68</v>
      </c>
      <c r="M3" t="str">
        <f ca="1">HLOOKUP(tBase[[#This Row],[Idade]],$O$3:$R$4,2,TRUE)</f>
        <v>54-70</v>
      </c>
      <c r="O3" s="16">
        <v>24</v>
      </c>
      <c r="P3" s="16">
        <v>35</v>
      </c>
      <c r="Q3" s="16">
        <v>44</v>
      </c>
      <c r="R3" s="16">
        <v>54</v>
      </c>
    </row>
    <row r="4" spans="2:18">
      <c r="B4" s="19">
        <v>22261045848</v>
      </c>
      <c r="C4" t="s">
        <v>217</v>
      </c>
      <c r="D4" t="s">
        <v>5</v>
      </c>
      <c r="E4" t="s">
        <v>7</v>
      </c>
      <c r="F4" t="s">
        <v>12</v>
      </c>
      <c r="G4" t="s">
        <v>425</v>
      </c>
      <c r="H4" s="1">
        <v>33376</v>
      </c>
      <c r="I4" s="1" t="s">
        <v>433</v>
      </c>
      <c r="J4" t="s">
        <v>454</v>
      </c>
      <c r="K4" s="20">
        <v>35.9</v>
      </c>
      <c r="L4">
        <f ca="1">TRUNC((TODAY()-tBase[[#This Row],[Data Nascimento]])/365)</f>
        <v>34</v>
      </c>
      <c r="M4" t="str">
        <f ca="1">HLOOKUP(tBase[[#This Row],[Idade]],$O$3:$R$4,2,TRUE)</f>
        <v>24-34</v>
      </c>
      <c r="O4" s="2" t="s">
        <v>420</v>
      </c>
      <c r="P4" s="2" t="s">
        <v>421</v>
      </c>
      <c r="Q4" s="2" t="s">
        <v>422</v>
      </c>
      <c r="R4" s="3" t="s">
        <v>423</v>
      </c>
    </row>
    <row r="5" spans="2:18">
      <c r="B5" s="19">
        <v>22319593464</v>
      </c>
      <c r="C5" t="s">
        <v>221</v>
      </c>
      <c r="D5" t="s">
        <v>5</v>
      </c>
      <c r="E5" t="s">
        <v>417</v>
      </c>
      <c r="F5" t="s">
        <v>427</v>
      </c>
      <c r="G5" t="s">
        <v>426</v>
      </c>
      <c r="H5" s="1">
        <v>22802</v>
      </c>
      <c r="I5" s="1" t="s">
        <v>433</v>
      </c>
      <c r="J5" t="s">
        <v>454</v>
      </c>
      <c r="K5" s="20">
        <v>35.9</v>
      </c>
      <c r="L5">
        <f ca="1">TRUNC((TODAY()-tBase[[#This Row],[Data Nascimento]])/365)</f>
        <v>63</v>
      </c>
      <c r="M5" t="str">
        <f ca="1">HLOOKUP(tBase[[#This Row],[Idade]],$O$3:$R$4,2,TRUE)</f>
        <v>54-70</v>
      </c>
    </row>
    <row r="6" spans="2:18">
      <c r="B6" s="19">
        <v>22502656506</v>
      </c>
      <c r="C6" t="s">
        <v>304</v>
      </c>
      <c r="D6" t="s">
        <v>6</v>
      </c>
      <c r="E6" t="s">
        <v>417</v>
      </c>
      <c r="F6" t="s">
        <v>14</v>
      </c>
      <c r="G6" t="s">
        <v>425</v>
      </c>
      <c r="H6" s="1">
        <v>34035</v>
      </c>
      <c r="I6" s="1" t="s">
        <v>433</v>
      </c>
      <c r="J6" t="s">
        <v>453</v>
      </c>
      <c r="K6" s="20">
        <v>29.9</v>
      </c>
      <c r="L6">
        <f ca="1">TRUNC((TODAY()-tBase[[#This Row],[Data Nascimento]])/365)</f>
        <v>32</v>
      </c>
      <c r="M6" t="str">
        <f ca="1">HLOOKUP(tBase[[#This Row],[Idade]],$O$3:$R$4,2,TRUE)</f>
        <v>24-34</v>
      </c>
    </row>
    <row r="7" spans="2:18">
      <c r="B7" s="19">
        <v>22545488634</v>
      </c>
      <c r="C7" t="s">
        <v>195</v>
      </c>
      <c r="D7" t="s">
        <v>5</v>
      </c>
      <c r="E7" t="s">
        <v>417</v>
      </c>
      <c r="F7" t="s">
        <v>9</v>
      </c>
      <c r="G7" t="s">
        <v>425</v>
      </c>
      <c r="H7" s="1">
        <v>22524</v>
      </c>
      <c r="I7" s="1" t="s">
        <v>433</v>
      </c>
      <c r="J7" t="s">
        <v>455</v>
      </c>
      <c r="K7" s="20">
        <v>9.9</v>
      </c>
      <c r="L7">
        <f ca="1">TRUNC((TODAY()-tBase[[#This Row],[Data Nascimento]])/365)</f>
        <v>64</v>
      </c>
      <c r="M7" t="str">
        <f ca="1">HLOOKUP(tBase[[#This Row],[Idade]],$O$3:$R$4,2,TRUE)</f>
        <v>54-70</v>
      </c>
    </row>
    <row r="8" spans="2:18">
      <c r="B8" s="19">
        <v>22730255729</v>
      </c>
      <c r="C8" t="s">
        <v>235</v>
      </c>
      <c r="D8" t="s">
        <v>6</v>
      </c>
      <c r="E8" t="s">
        <v>417</v>
      </c>
      <c r="F8" t="s">
        <v>12</v>
      </c>
      <c r="G8" t="s">
        <v>425</v>
      </c>
      <c r="H8" s="1">
        <v>20633</v>
      </c>
      <c r="I8" s="1" t="s">
        <v>433</v>
      </c>
      <c r="J8" t="s">
        <v>455</v>
      </c>
      <c r="K8" s="20">
        <v>9.9</v>
      </c>
      <c r="L8">
        <f ca="1">TRUNC((TODAY()-tBase[[#This Row],[Data Nascimento]])/365)</f>
        <v>69</v>
      </c>
      <c r="M8" t="str">
        <f ca="1">HLOOKUP(tBase[[#This Row],[Idade]],$O$3:$R$4,2,TRUE)</f>
        <v>54-70</v>
      </c>
    </row>
    <row r="9" spans="2:18">
      <c r="B9" s="19">
        <v>22915442664</v>
      </c>
      <c r="C9" t="s">
        <v>380</v>
      </c>
      <c r="D9" t="s">
        <v>5</v>
      </c>
      <c r="E9" t="s">
        <v>7</v>
      </c>
      <c r="F9" t="s">
        <v>13</v>
      </c>
      <c r="G9" t="s">
        <v>425</v>
      </c>
      <c r="H9" s="1">
        <v>26190</v>
      </c>
      <c r="I9" s="1" t="s">
        <v>433</v>
      </c>
      <c r="J9" t="s">
        <v>455</v>
      </c>
      <c r="K9" s="20">
        <v>9.9</v>
      </c>
      <c r="L9">
        <f ca="1">TRUNC((TODAY()-tBase[[#This Row],[Data Nascimento]])/365)</f>
        <v>54</v>
      </c>
      <c r="M9" t="str">
        <f ca="1">HLOOKUP(tBase[[#This Row],[Idade]],$O$3:$R$4,2,TRUE)</f>
        <v>54-70</v>
      </c>
    </row>
    <row r="10" spans="2:18">
      <c r="B10" s="19">
        <v>23003948004</v>
      </c>
      <c r="C10" t="s">
        <v>385</v>
      </c>
      <c r="D10" t="s">
        <v>6</v>
      </c>
      <c r="E10" t="s">
        <v>7</v>
      </c>
      <c r="F10" t="s">
        <v>12</v>
      </c>
      <c r="G10" t="s">
        <v>425</v>
      </c>
      <c r="H10" s="1">
        <v>34879</v>
      </c>
      <c r="I10" s="1" t="s">
        <v>433</v>
      </c>
      <c r="J10" t="s">
        <v>454</v>
      </c>
      <c r="K10" s="20">
        <v>35.9</v>
      </c>
      <c r="L10">
        <f ca="1">TRUNC((TODAY()-tBase[[#This Row],[Data Nascimento]])/365)</f>
        <v>30</v>
      </c>
      <c r="M10" t="str">
        <f ca="1">HLOOKUP(tBase[[#This Row],[Idade]],$O$3:$R$4,2,TRUE)</f>
        <v>24-34</v>
      </c>
    </row>
    <row r="11" spans="2:18">
      <c r="B11" s="19">
        <v>23076469898</v>
      </c>
      <c r="C11" t="s">
        <v>28</v>
      </c>
      <c r="D11" t="s">
        <v>5</v>
      </c>
      <c r="E11" t="s">
        <v>416</v>
      </c>
      <c r="F11" t="s">
        <v>14</v>
      </c>
      <c r="G11" t="s">
        <v>425</v>
      </c>
      <c r="H11" s="1">
        <v>26534</v>
      </c>
      <c r="I11" s="1" t="s">
        <v>433</v>
      </c>
      <c r="J11" t="s">
        <v>453</v>
      </c>
      <c r="K11" s="20">
        <v>29.9</v>
      </c>
      <c r="L11">
        <f ca="1">TRUNC((TODAY()-tBase[[#This Row],[Data Nascimento]])/365)</f>
        <v>53</v>
      </c>
      <c r="M11" t="str">
        <f ca="1">HLOOKUP(tBase[[#This Row],[Idade]],$O$3:$R$4,2,TRUE)</f>
        <v>44 - 54</v>
      </c>
    </row>
    <row r="12" spans="2:18">
      <c r="B12" s="19">
        <v>23247585094</v>
      </c>
      <c r="C12" t="s">
        <v>123</v>
      </c>
      <c r="D12" t="s">
        <v>6</v>
      </c>
      <c r="E12" t="s">
        <v>7</v>
      </c>
      <c r="F12" t="s">
        <v>9</v>
      </c>
      <c r="G12" t="s">
        <v>424</v>
      </c>
      <c r="H12" s="1">
        <v>31809</v>
      </c>
      <c r="I12" s="1" t="s">
        <v>429</v>
      </c>
      <c r="J12" t="s">
        <v>455</v>
      </c>
      <c r="K12" s="20">
        <v>9.9</v>
      </c>
      <c r="L12">
        <f ca="1">TRUNC((TODAY()-tBase[[#This Row],[Data Nascimento]])/365)</f>
        <v>39</v>
      </c>
      <c r="M12" t="str">
        <f ca="1">HLOOKUP(tBase[[#This Row],[Idade]],$O$3:$R$4,2,TRUE)</f>
        <v>35 - 44</v>
      </c>
    </row>
    <row r="13" spans="2:18">
      <c r="B13" s="19">
        <v>23305930384</v>
      </c>
      <c r="C13" t="s">
        <v>386</v>
      </c>
      <c r="D13" t="s">
        <v>5</v>
      </c>
      <c r="E13" t="s">
        <v>417</v>
      </c>
      <c r="F13" t="s">
        <v>13</v>
      </c>
      <c r="G13" t="s">
        <v>426</v>
      </c>
      <c r="H13" s="1">
        <v>21884</v>
      </c>
      <c r="I13" s="1" t="s">
        <v>432</v>
      </c>
      <c r="J13" t="s">
        <v>456</v>
      </c>
      <c r="K13" s="20">
        <v>79.900000000000006</v>
      </c>
      <c r="L13">
        <f ca="1">TRUNC((TODAY()-tBase[[#This Row],[Data Nascimento]])/365)</f>
        <v>66</v>
      </c>
      <c r="M13" t="str">
        <f ca="1">HLOOKUP(tBase[[#This Row],[Idade]],$O$3:$R$4,2,TRUE)</f>
        <v>54-70</v>
      </c>
    </row>
    <row r="14" spans="2:18">
      <c r="B14" s="19">
        <v>23327518189</v>
      </c>
      <c r="C14" t="s">
        <v>238</v>
      </c>
      <c r="D14" t="s">
        <v>6</v>
      </c>
      <c r="E14" t="s">
        <v>417</v>
      </c>
      <c r="F14" t="s">
        <v>427</v>
      </c>
      <c r="G14" t="s">
        <v>426</v>
      </c>
      <c r="H14" s="1">
        <v>21366</v>
      </c>
      <c r="I14" s="1" t="s">
        <v>436</v>
      </c>
      <c r="J14" t="s">
        <v>453</v>
      </c>
      <c r="K14" s="20">
        <v>29.9</v>
      </c>
      <c r="L14">
        <f ca="1">TRUNC((TODAY()-tBase[[#This Row],[Data Nascimento]])/365)</f>
        <v>67</v>
      </c>
      <c r="M14" t="str">
        <f ca="1">HLOOKUP(tBase[[#This Row],[Idade]],$O$3:$R$4,2,TRUE)</f>
        <v>54-70</v>
      </c>
    </row>
    <row r="15" spans="2:18">
      <c r="B15" s="19">
        <v>23347171291</v>
      </c>
      <c r="C15" t="s">
        <v>328</v>
      </c>
      <c r="D15" t="s">
        <v>6</v>
      </c>
      <c r="E15" t="s">
        <v>416</v>
      </c>
      <c r="F15" t="s">
        <v>14</v>
      </c>
      <c r="G15" t="s">
        <v>425</v>
      </c>
      <c r="H15" s="1">
        <v>28645</v>
      </c>
      <c r="I15" s="1" t="s">
        <v>436</v>
      </c>
      <c r="J15" t="s">
        <v>455</v>
      </c>
      <c r="K15" s="20">
        <v>9.9</v>
      </c>
      <c r="L15">
        <f ca="1">TRUNC((TODAY()-tBase[[#This Row],[Data Nascimento]])/365)</f>
        <v>47</v>
      </c>
      <c r="M15" t="str">
        <f ca="1">HLOOKUP(tBase[[#This Row],[Idade]],$O$3:$R$4,2,TRUE)</f>
        <v>44 - 54</v>
      </c>
    </row>
    <row r="16" spans="2:18">
      <c r="B16" s="19">
        <v>23396488132</v>
      </c>
      <c r="C16" t="s">
        <v>41</v>
      </c>
      <c r="D16" t="s">
        <v>6</v>
      </c>
      <c r="E16" t="s">
        <v>417</v>
      </c>
      <c r="F16" t="s">
        <v>427</v>
      </c>
      <c r="G16" t="s">
        <v>425</v>
      </c>
      <c r="H16" s="1">
        <v>34390</v>
      </c>
      <c r="I16" s="1" t="s">
        <v>436</v>
      </c>
      <c r="J16" t="s">
        <v>454</v>
      </c>
      <c r="K16" s="20">
        <v>35.9</v>
      </c>
      <c r="L16">
        <f ca="1">TRUNC((TODAY()-tBase[[#This Row],[Data Nascimento]])/365)</f>
        <v>31</v>
      </c>
      <c r="M16" t="str">
        <f ca="1">HLOOKUP(tBase[[#This Row],[Idade]],$O$3:$R$4,2,TRUE)</f>
        <v>24-34</v>
      </c>
    </row>
    <row r="17" spans="2:13">
      <c r="B17" s="19">
        <v>23474418720</v>
      </c>
      <c r="C17" t="s">
        <v>87</v>
      </c>
      <c r="D17" t="s">
        <v>6</v>
      </c>
      <c r="E17" t="s">
        <v>7</v>
      </c>
      <c r="F17" t="s">
        <v>9</v>
      </c>
      <c r="G17" t="s">
        <v>425</v>
      </c>
      <c r="H17" s="1">
        <v>23540</v>
      </c>
      <c r="I17" s="1" t="s">
        <v>436</v>
      </c>
      <c r="J17" t="s">
        <v>453</v>
      </c>
      <c r="K17" s="20">
        <v>29.9</v>
      </c>
      <c r="L17">
        <f ca="1">TRUNC((TODAY()-tBase[[#This Row],[Data Nascimento]])/365)</f>
        <v>61</v>
      </c>
      <c r="M17" t="str">
        <f ca="1">HLOOKUP(tBase[[#This Row],[Idade]],$O$3:$R$4,2,TRUE)</f>
        <v>54-70</v>
      </c>
    </row>
    <row r="18" spans="2:13">
      <c r="B18" s="19">
        <v>23495363597</v>
      </c>
      <c r="C18" t="s">
        <v>315</v>
      </c>
      <c r="D18" t="s">
        <v>5</v>
      </c>
      <c r="E18" t="s">
        <v>417</v>
      </c>
      <c r="F18" t="s">
        <v>9</v>
      </c>
      <c r="G18" t="s">
        <v>425</v>
      </c>
      <c r="H18" s="1">
        <v>26610</v>
      </c>
      <c r="I18" s="1" t="s">
        <v>436</v>
      </c>
      <c r="J18" t="s">
        <v>455</v>
      </c>
      <c r="K18" s="20">
        <v>9.9</v>
      </c>
      <c r="L18">
        <f ca="1">TRUNC((TODAY()-tBase[[#This Row],[Data Nascimento]])/365)</f>
        <v>53</v>
      </c>
      <c r="M18" t="str">
        <f ca="1">HLOOKUP(tBase[[#This Row],[Idade]],$O$3:$R$4,2,TRUE)</f>
        <v>44 - 54</v>
      </c>
    </row>
    <row r="19" spans="2:13">
      <c r="B19" s="19">
        <v>23710915067</v>
      </c>
      <c r="C19" t="s">
        <v>279</v>
      </c>
      <c r="D19" t="s">
        <v>6</v>
      </c>
      <c r="E19" t="s">
        <v>8</v>
      </c>
      <c r="F19" t="s">
        <v>9</v>
      </c>
      <c r="G19" t="s">
        <v>425</v>
      </c>
      <c r="H19" s="1">
        <v>23341</v>
      </c>
      <c r="I19" s="1" t="s">
        <v>436</v>
      </c>
      <c r="J19" t="s">
        <v>453</v>
      </c>
      <c r="K19" s="20">
        <v>29.9</v>
      </c>
      <c r="L19">
        <f ca="1">TRUNC((TODAY()-tBase[[#This Row],[Data Nascimento]])/365)</f>
        <v>62</v>
      </c>
      <c r="M19" t="str">
        <f ca="1">HLOOKUP(tBase[[#This Row],[Idade]],$O$3:$R$4,2,TRUE)</f>
        <v>54-70</v>
      </c>
    </row>
    <row r="20" spans="2:13">
      <c r="B20" s="19">
        <v>23744776016</v>
      </c>
      <c r="C20" t="s">
        <v>163</v>
      </c>
      <c r="D20" t="s">
        <v>5</v>
      </c>
      <c r="E20" t="s">
        <v>7</v>
      </c>
      <c r="F20" t="s">
        <v>12</v>
      </c>
      <c r="G20" t="s">
        <v>424</v>
      </c>
      <c r="H20" s="1">
        <v>29555</v>
      </c>
      <c r="I20" s="1" t="s">
        <v>435</v>
      </c>
      <c r="J20" t="s">
        <v>455</v>
      </c>
      <c r="K20" s="20">
        <v>9.9</v>
      </c>
      <c r="L20">
        <f ca="1">TRUNC((TODAY()-tBase[[#This Row],[Data Nascimento]])/365)</f>
        <v>45</v>
      </c>
      <c r="M20" t="str">
        <f ca="1">HLOOKUP(tBase[[#This Row],[Idade]],$O$3:$R$4,2,TRUE)</f>
        <v>44 - 54</v>
      </c>
    </row>
    <row r="21" spans="2:13">
      <c r="B21" s="19">
        <v>23811464512</v>
      </c>
      <c r="C21" t="s">
        <v>364</v>
      </c>
      <c r="D21" t="s">
        <v>5</v>
      </c>
      <c r="E21" t="s">
        <v>418</v>
      </c>
      <c r="F21" t="s">
        <v>14</v>
      </c>
      <c r="G21" t="s">
        <v>425</v>
      </c>
      <c r="H21" s="1">
        <v>29097</v>
      </c>
      <c r="I21" s="1" t="s">
        <v>433</v>
      </c>
      <c r="J21" t="s">
        <v>453</v>
      </c>
      <c r="K21" s="20">
        <v>29.9</v>
      </c>
      <c r="L21">
        <f ca="1">TRUNC((TODAY()-tBase[[#This Row],[Data Nascimento]])/365)</f>
        <v>46</v>
      </c>
      <c r="M21" t="str">
        <f ca="1">HLOOKUP(tBase[[#This Row],[Idade]],$O$3:$R$4,2,TRUE)</f>
        <v>44 - 54</v>
      </c>
    </row>
    <row r="22" spans="2:13">
      <c r="B22" s="19">
        <v>23812290184</v>
      </c>
      <c r="C22" t="s">
        <v>272</v>
      </c>
      <c r="D22" t="s">
        <v>6</v>
      </c>
      <c r="E22" t="s">
        <v>8</v>
      </c>
      <c r="F22" t="s">
        <v>13</v>
      </c>
      <c r="G22" t="s">
        <v>425</v>
      </c>
      <c r="H22" s="1">
        <v>33788</v>
      </c>
      <c r="I22" s="1" t="s">
        <v>433</v>
      </c>
      <c r="J22" t="s">
        <v>453</v>
      </c>
      <c r="K22" s="20">
        <v>29.9</v>
      </c>
      <c r="L22">
        <f ca="1">TRUNC((TODAY()-tBase[[#This Row],[Data Nascimento]])/365)</f>
        <v>33</v>
      </c>
      <c r="M22" t="str">
        <f ca="1">HLOOKUP(tBase[[#This Row],[Idade]],$O$3:$R$4,2,TRUE)</f>
        <v>24-34</v>
      </c>
    </row>
    <row r="23" spans="2:13">
      <c r="B23" s="19">
        <v>23826850226</v>
      </c>
      <c r="C23" t="s">
        <v>36</v>
      </c>
      <c r="D23" t="s">
        <v>5</v>
      </c>
      <c r="E23" t="s">
        <v>7</v>
      </c>
      <c r="F23" t="s">
        <v>13</v>
      </c>
      <c r="G23" t="s">
        <v>426</v>
      </c>
      <c r="H23" s="1">
        <v>25592</v>
      </c>
      <c r="I23" s="1" t="s">
        <v>433</v>
      </c>
      <c r="J23" t="s">
        <v>455</v>
      </c>
      <c r="K23" s="20">
        <v>9.9</v>
      </c>
      <c r="L23">
        <f ca="1">TRUNC((TODAY()-tBase[[#This Row],[Data Nascimento]])/365)</f>
        <v>56</v>
      </c>
      <c r="M23" t="str">
        <f ca="1">HLOOKUP(tBase[[#This Row],[Idade]],$O$3:$R$4,2,TRUE)</f>
        <v>54-70</v>
      </c>
    </row>
    <row r="24" spans="2:13">
      <c r="B24" s="19">
        <v>23832649809</v>
      </c>
      <c r="C24" t="s">
        <v>198</v>
      </c>
      <c r="D24" t="s">
        <v>5</v>
      </c>
      <c r="E24" t="s">
        <v>417</v>
      </c>
      <c r="F24" t="s">
        <v>11</v>
      </c>
      <c r="G24" t="s">
        <v>426</v>
      </c>
      <c r="H24" s="1">
        <v>21969</v>
      </c>
      <c r="I24" s="1" t="s">
        <v>433</v>
      </c>
      <c r="J24" t="s">
        <v>456</v>
      </c>
      <c r="K24" s="20">
        <v>79.900000000000006</v>
      </c>
      <c r="L24">
        <f ca="1">TRUNC((TODAY()-tBase[[#This Row],[Data Nascimento]])/365)</f>
        <v>65</v>
      </c>
      <c r="M24" t="str">
        <f ca="1">HLOOKUP(tBase[[#This Row],[Idade]],$O$3:$R$4,2,TRUE)</f>
        <v>54-70</v>
      </c>
    </row>
    <row r="25" spans="2:13">
      <c r="B25" s="19">
        <v>23901903684</v>
      </c>
      <c r="C25" t="s">
        <v>168</v>
      </c>
      <c r="D25" t="s">
        <v>6</v>
      </c>
      <c r="E25" t="s">
        <v>416</v>
      </c>
      <c r="F25" t="s">
        <v>13</v>
      </c>
      <c r="G25" t="s">
        <v>425</v>
      </c>
      <c r="H25" s="1">
        <v>31133</v>
      </c>
      <c r="I25" s="1" t="s">
        <v>433</v>
      </c>
      <c r="J25" t="s">
        <v>454</v>
      </c>
      <c r="K25" s="20">
        <v>35.9</v>
      </c>
      <c r="L25">
        <f ca="1">TRUNC((TODAY()-tBase[[#This Row],[Data Nascimento]])/365)</f>
        <v>40</v>
      </c>
      <c r="M25" t="str">
        <f ca="1">HLOOKUP(tBase[[#This Row],[Idade]],$O$3:$R$4,2,TRUE)</f>
        <v>35 - 44</v>
      </c>
    </row>
    <row r="26" spans="2:13">
      <c r="B26" s="19">
        <v>23955738155</v>
      </c>
      <c r="C26" t="s">
        <v>299</v>
      </c>
      <c r="D26" t="s">
        <v>5</v>
      </c>
      <c r="E26" t="s">
        <v>8</v>
      </c>
      <c r="F26" t="s">
        <v>13</v>
      </c>
      <c r="G26" t="s">
        <v>426</v>
      </c>
      <c r="H26" s="1">
        <v>26045</v>
      </c>
      <c r="I26" s="1" t="s">
        <v>430</v>
      </c>
      <c r="J26" t="s">
        <v>453</v>
      </c>
      <c r="K26" s="20">
        <v>29.9</v>
      </c>
      <c r="L26">
        <f ca="1">TRUNC((TODAY()-tBase[[#This Row],[Data Nascimento]])/365)</f>
        <v>54</v>
      </c>
      <c r="M26" t="str">
        <f ca="1">HLOOKUP(tBase[[#This Row],[Idade]],$O$3:$R$4,2,TRUE)</f>
        <v>54-70</v>
      </c>
    </row>
    <row r="27" spans="2:13">
      <c r="B27" s="19">
        <v>23985916849</v>
      </c>
      <c r="C27" t="s">
        <v>325</v>
      </c>
      <c r="D27" t="s">
        <v>5</v>
      </c>
      <c r="E27" t="s">
        <v>7</v>
      </c>
      <c r="F27" t="s">
        <v>427</v>
      </c>
      <c r="G27" t="s">
        <v>425</v>
      </c>
      <c r="H27" s="1">
        <v>33181</v>
      </c>
      <c r="I27" s="1" t="s">
        <v>429</v>
      </c>
      <c r="J27" t="s">
        <v>454</v>
      </c>
      <c r="K27" s="20">
        <v>35.9</v>
      </c>
      <c r="L27">
        <f ca="1">TRUNC((TODAY()-tBase[[#This Row],[Data Nascimento]])/365)</f>
        <v>35</v>
      </c>
      <c r="M27" t="str">
        <f ca="1">HLOOKUP(tBase[[#This Row],[Idade]],$O$3:$R$4,2,TRUE)</f>
        <v>35 - 44</v>
      </c>
    </row>
    <row r="28" spans="2:13">
      <c r="B28" s="19">
        <v>24132591017</v>
      </c>
      <c r="C28" t="s">
        <v>199</v>
      </c>
      <c r="D28" t="s">
        <v>5</v>
      </c>
      <c r="E28" t="s">
        <v>8</v>
      </c>
      <c r="F28" t="s">
        <v>12</v>
      </c>
      <c r="G28" t="s">
        <v>425</v>
      </c>
      <c r="H28" s="1">
        <v>28504</v>
      </c>
      <c r="I28" s="1" t="s">
        <v>431</v>
      </c>
      <c r="J28" t="s">
        <v>456</v>
      </c>
      <c r="K28" s="20">
        <v>79.900000000000006</v>
      </c>
      <c r="L28">
        <f ca="1">TRUNC((TODAY()-tBase[[#This Row],[Data Nascimento]])/365)</f>
        <v>48</v>
      </c>
      <c r="M28" t="str">
        <f ca="1">HLOOKUP(tBase[[#This Row],[Idade]],$O$3:$R$4,2,TRUE)</f>
        <v>44 - 54</v>
      </c>
    </row>
    <row r="29" spans="2:13">
      <c r="B29" s="19">
        <v>24163969033</v>
      </c>
      <c r="C29" t="s">
        <v>236</v>
      </c>
      <c r="D29" t="s">
        <v>6</v>
      </c>
      <c r="E29" t="s">
        <v>7</v>
      </c>
      <c r="F29" t="s">
        <v>13</v>
      </c>
      <c r="G29" t="s">
        <v>426</v>
      </c>
      <c r="H29" s="1">
        <v>34294</v>
      </c>
      <c r="I29" s="1" t="s">
        <v>432</v>
      </c>
      <c r="J29" t="s">
        <v>455</v>
      </c>
      <c r="K29" s="20">
        <v>9.9</v>
      </c>
      <c r="L29">
        <f ca="1">TRUNC((TODAY()-tBase[[#This Row],[Data Nascimento]])/365)</f>
        <v>32</v>
      </c>
      <c r="M29" t="str">
        <f ca="1">HLOOKUP(tBase[[#This Row],[Idade]],$O$3:$R$4,2,TRUE)</f>
        <v>24-34</v>
      </c>
    </row>
    <row r="30" spans="2:13">
      <c r="B30" s="19">
        <v>24287997573</v>
      </c>
      <c r="C30" t="s">
        <v>20</v>
      </c>
      <c r="D30" t="s">
        <v>5</v>
      </c>
      <c r="E30" t="s">
        <v>7</v>
      </c>
      <c r="F30" t="s">
        <v>13</v>
      </c>
      <c r="G30" t="s">
        <v>425</v>
      </c>
      <c r="H30" s="1">
        <v>29298</v>
      </c>
      <c r="I30" s="1" t="s">
        <v>434</v>
      </c>
      <c r="J30" t="s">
        <v>455</v>
      </c>
      <c r="K30" s="20">
        <v>9.9</v>
      </c>
      <c r="L30">
        <f ca="1">TRUNC((TODAY()-tBase[[#This Row],[Data Nascimento]])/365)</f>
        <v>45</v>
      </c>
      <c r="M30" t="str">
        <f ca="1">HLOOKUP(tBase[[#This Row],[Idade]],$O$3:$R$4,2,TRUE)</f>
        <v>44 - 54</v>
      </c>
    </row>
    <row r="31" spans="2:13">
      <c r="B31" s="19">
        <v>24399783131</v>
      </c>
      <c r="C31" t="s">
        <v>219</v>
      </c>
      <c r="D31" t="s">
        <v>5</v>
      </c>
      <c r="E31" t="s">
        <v>8</v>
      </c>
      <c r="F31" t="s">
        <v>9</v>
      </c>
      <c r="G31" t="s">
        <v>426</v>
      </c>
      <c r="H31" s="1">
        <v>21433</v>
      </c>
      <c r="I31" s="1" t="s">
        <v>430</v>
      </c>
      <c r="J31" t="s">
        <v>455</v>
      </c>
      <c r="K31" s="20">
        <v>9.9</v>
      </c>
      <c r="L31">
        <f ca="1">TRUNC((TODAY()-tBase[[#This Row],[Data Nascimento]])/365)</f>
        <v>67</v>
      </c>
      <c r="M31" t="str">
        <f ca="1">HLOOKUP(tBase[[#This Row],[Idade]],$O$3:$R$4,2,TRUE)</f>
        <v>54-70</v>
      </c>
    </row>
    <row r="32" spans="2:13">
      <c r="B32" s="19">
        <v>24476290628</v>
      </c>
      <c r="C32" t="s">
        <v>63</v>
      </c>
      <c r="D32" t="s">
        <v>6</v>
      </c>
      <c r="E32" t="s">
        <v>7</v>
      </c>
      <c r="F32" t="s">
        <v>9</v>
      </c>
      <c r="G32" t="s">
        <v>424</v>
      </c>
      <c r="H32" s="1">
        <v>27317</v>
      </c>
      <c r="I32" s="1" t="s">
        <v>435</v>
      </c>
      <c r="J32" t="s">
        <v>455</v>
      </c>
      <c r="K32" s="20">
        <v>9.9</v>
      </c>
      <c r="L32">
        <f ca="1">TRUNC((TODAY()-tBase[[#This Row],[Data Nascimento]])/365)</f>
        <v>51</v>
      </c>
      <c r="M32" t="str">
        <f ca="1">HLOOKUP(tBase[[#This Row],[Idade]],$O$3:$R$4,2,TRUE)</f>
        <v>44 - 54</v>
      </c>
    </row>
    <row r="33" spans="2:13">
      <c r="B33" s="19">
        <v>24501506609</v>
      </c>
      <c r="C33" t="s">
        <v>30</v>
      </c>
      <c r="D33" t="s">
        <v>5</v>
      </c>
      <c r="E33" t="s">
        <v>7</v>
      </c>
      <c r="F33" t="s">
        <v>11</v>
      </c>
      <c r="G33" t="s">
        <v>426</v>
      </c>
      <c r="H33" s="1">
        <v>24903</v>
      </c>
      <c r="I33" s="1" t="s">
        <v>436</v>
      </c>
      <c r="J33" t="s">
        <v>456</v>
      </c>
      <c r="K33" s="20">
        <v>79.900000000000006</v>
      </c>
      <c r="L33">
        <f ca="1">TRUNC((TODAY()-tBase[[#This Row],[Data Nascimento]])/365)</f>
        <v>57</v>
      </c>
      <c r="M33" t="str">
        <f ca="1">HLOOKUP(tBase[[#This Row],[Idade]],$O$3:$R$4,2,TRUE)</f>
        <v>54-70</v>
      </c>
    </row>
    <row r="34" spans="2:13">
      <c r="B34" s="19">
        <v>24571944346</v>
      </c>
      <c r="C34" t="s">
        <v>243</v>
      </c>
      <c r="D34" t="s">
        <v>5</v>
      </c>
      <c r="E34" t="s">
        <v>7</v>
      </c>
      <c r="F34" t="s">
        <v>9</v>
      </c>
      <c r="G34" t="s">
        <v>424</v>
      </c>
      <c r="H34" s="1">
        <v>21653</v>
      </c>
      <c r="I34" s="1" t="s">
        <v>430</v>
      </c>
      <c r="J34" t="s">
        <v>455</v>
      </c>
      <c r="K34" s="20">
        <v>9.9</v>
      </c>
      <c r="L34">
        <f ca="1">TRUNC((TODAY()-tBase[[#This Row],[Data Nascimento]])/365)</f>
        <v>66</v>
      </c>
      <c r="M34" t="str">
        <f ca="1">HLOOKUP(tBase[[#This Row],[Idade]],$O$3:$R$4,2,TRUE)</f>
        <v>54-70</v>
      </c>
    </row>
    <row r="35" spans="2:13">
      <c r="B35" s="19">
        <v>24787984175</v>
      </c>
      <c r="C35" t="s">
        <v>244</v>
      </c>
      <c r="D35" t="s">
        <v>6</v>
      </c>
      <c r="E35" t="s">
        <v>418</v>
      </c>
      <c r="F35" t="s">
        <v>14</v>
      </c>
      <c r="G35" t="s">
        <v>425</v>
      </c>
      <c r="H35" s="1">
        <v>34867</v>
      </c>
      <c r="I35" s="1" t="s">
        <v>435</v>
      </c>
      <c r="J35" t="s">
        <v>453</v>
      </c>
      <c r="K35" s="20">
        <v>29.9</v>
      </c>
      <c r="L35">
        <f ca="1">TRUNC((TODAY()-tBase[[#This Row],[Data Nascimento]])/365)</f>
        <v>30</v>
      </c>
      <c r="M35" t="str">
        <f ca="1">HLOOKUP(tBase[[#This Row],[Idade]],$O$3:$R$4,2,TRUE)</f>
        <v>24-34</v>
      </c>
    </row>
    <row r="36" spans="2:13">
      <c r="B36" s="19">
        <v>25119128692</v>
      </c>
      <c r="C36" t="s">
        <v>265</v>
      </c>
      <c r="D36" t="s">
        <v>5</v>
      </c>
      <c r="E36" t="s">
        <v>7</v>
      </c>
      <c r="F36" t="s">
        <v>12</v>
      </c>
      <c r="G36" t="s">
        <v>425</v>
      </c>
      <c r="H36" s="1">
        <v>30384</v>
      </c>
      <c r="I36" s="1" t="s">
        <v>436</v>
      </c>
      <c r="J36" t="s">
        <v>454</v>
      </c>
      <c r="K36" s="20">
        <v>35.9</v>
      </c>
      <c r="L36">
        <f ca="1">TRUNC((TODAY()-tBase[[#This Row],[Data Nascimento]])/365)</f>
        <v>42</v>
      </c>
      <c r="M36" t="str">
        <f ca="1">HLOOKUP(tBase[[#This Row],[Idade]],$O$3:$R$4,2,TRUE)</f>
        <v>35 - 44</v>
      </c>
    </row>
    <row r="37" spans="2:13">
      <c r="B37" s="19">
        <v>25186825602</v>
      </c>
      <c r="C37" t="s">
        <v>287</v>
      </c>
      <c r="D37" t="s">
        <v>6</v>
      </c>
      <c r="E37" t="s">
        <v>7</v>
      </c>
      <c r="F37" t="s">
        <v>427</v>
      </c>
      <c r="G37" t="s">
        <v>425</v>
      </c>
      <c r="H37" s="1">
        <v>23124</v>
      </c>
      <c r="I37" s="1" t="s">
        <v>433</v>
      </c>
      <c r="J37" t="s">
        <v>453</v>
      </c>
      <c r="K37" s="20">
        <v>29.9</v>
      </c>
      <c r="L37">
        <f ca="1">TRUNC((TODAY()-tBase[[#This Row],[Data Nascimento]])/365)</f>
        <v>62</v>
      </c>
      <c r="M37" t="str">
        <f ca="1">HLOOKUP(tBase[[#This Row],[Idade]],$O$3:$R$4,2,TRUE)</f>
        <v>54-70</v>
      </c>
    </row>
    <row r="38" spans="2:13">
      <c r="B38" s="19">
        <v>25259510243</v>
      </c>
      <c r="C38" t="s">
        <v>40</v>
      </c>
      <c r="D38" t="s">
        <v>5</v>
      </c>
      <c r="E38" t="s">
        <v>7</v>
      </c>
      <c r="F38" t="s">
        <v>14</v>
      </c>
      <c r="G38" t="s">
        <v>426</v>
      </c>
      <c r="H38" s="1">
        <v>26741</v>
      </c>
      <c r="I38" s="1" t="s">
        <v>433</v>
      </c>
      <c r="J38" t="s">
        <v>455</v>
      </c>
      <c r="K38" s="20">
        <v>9.9</v>
      </c>
      <c r="L38">
        <f ca="1">TRUNC((TODAY()-tBase[[#This Row],[Data Nascimento]])/365)</f>
        <v>52</v>
      </c>
      <c r="M38" t="str">
        <f ca="1">HLOOKUP(tBase[[#This Row],[Idade]],$O$3:$R$4,2,TRUE)</f>
        <v>44 - 54</v>
      </c>
    </row>
    <row r="39" spans="2:13">
      <c r="B39" s="19">
        <v>25299040876</v>
      </c>
      <c r="C39" t="s">
        <v>184</v>
      </c>
      <c r="D39" t="s">
        <v>5</v>
      </c>
      <c r="E39" t="s">
        <v>417</v>
      </c>
      <c r="F39" t="s">
        <v>14</v>
      </c>
      <c r="G39" t="s">
        <v>425</v>
      </c>
      <c r="H39" s="1">
        <v>22002</v>
      </c>
      <c r="I39" s="1" t="s">
        <v>433</v>
      </c>
      <c r="J39" t="s">
        <v>455</v>
      </c>
      <c r="K39" s="20">
        <v>9.9</v>
      </c>
      <c r="L39">
        <f ca="1">TRUNC((TODAY()-tBase[[#This Row],[Data Nascimento]])/365)</f>
        <v>65</v>
      </c>
      <c r="M39" t="str">
        <f ca="1">HLOOKUP(tBase[[#This Row],[Idade]],$O$3:$R$4,2,TRUE)</f>
        <v>54-70</v>
      </c>
    </row>
    <row r="40" spans="2:13">
      <c r="B40" s="19">
        <v>25585315115</v>
      </c>
      <c r="C40" t="s">
        <v>309</v>
      </c>
      <c r="D40" t="s">
        <v>6</v>
      </c>
      <c r="E40" t="s">
        <v>8</v>
      </c>
      <c r="F40" t="s">
        <v>427</v>
      </c>
      <c r="G40" t="s">
        <v>426</v>
      </c>
      <c r="H40" s="1">
        <v>28355</v>
      </c>
      <c r="I40" s="1" t="s">
        <v>433</v>
      </c>
      <c r="J40" t="s">
        <v>455</v>
      </c>
      <c r="K40" s="20">
        <v>9.9</v>
      </c>
      <c r="L40">
        <f ca="1">TRUNC((TODAY()-tBase[[#This Row],[Data Nascimento]])/365)</f>
        <v>48</v>
      </c>
      <c r="M40" t="str">
        <f ca="1">HLOOKUP(tBase[[#This Row],[Idade]],$O$3:$R$4,2,TRUE)</f>
        <v>44 - 54</v>
      </c>
    </row>
    <row r="41" spans="2:13">
      <c r="B41" s="19">
        <v>25620590447</v>
      </c>
      <c r="C41" t="s">
        <v>90</v>
      </c>
      <c r="D41" t="s">
        <v>5</v>
      </c>
      <c r="E41" t="s">
        <v>7</v>
      </c>
      <c r="F41" t="s">
        <v>11</v>
      </c>
      <c r="G41" t="s">
        <v>426</v>
      </c>
      <c r="H41" s="1">
        <v>32844</v>
      </c>
      <c r="I41" s="1" t="s">
        <v>433</v>
      </c>
      <c r="J41" t="s">
        <v>456</v>
      </c>
      <c r="K41" s="20">
        <v>79.900000000000006</v>
      </c>
      <c r="L41">
        <f ca="1">TRUNC((TODAY()-tBase[[#This Row],[Data Nascimento]])/365)</f>
        <v>36</v>
      </c>
      <c r="M41" t="str">
        <f ca="1">HLOOKUP(tBase[[#This Row],[Idade]],$O$3:$R$4,2,TRUE)</f>
        <v>35 - 44</v>
      </c>
    </row>
    <row r="42" spans="2:13">
      <c r="B42" s="19">
        <v>25690893853</v>
      </c>
      <c r="C42" t="s">
        <v>255</v>
      </c>
      <c r="D42" t="s">
        <v>5</v>
      </c>
      <c r="E42" t="s">
        <v>417</v>
      </c>
      <c r="F42" t="s">
        <v>9</v>
      </c>
      <c r="G42" t="s">
        <v>425</v>
      </c>
      <c r="H42" s="1">
        <v>22758</v>
      </c>
      <c r="I42" s="1" t="s">
        <v>433</v>
      </c>
      <c r="J42" t="s">
        <v>455</v>
      </c>
      <c r="K42" s="20">
        <v>9.9</v>
      </c>
      <c r="L42">
        <f ca="1">TRUNC((TODAY()-tBase[[#This Row],[Data Nascimento]])/365)</f>
        <v>63</v>
      </c>
      <c r="M42" t="str">
        <f ca="1">HLOOKUP(tBase[[#This Row],[Idade]],$O$3:$R$4,2,TRUE)</f>
        <v>54-70</v>
      </c>
    </row>
    <row r="43" spans="2:13">
      <c r="B43" s="19">
        <v>25770108240</v>
      </c>
      <c r="C43" t="s">
        <v>141</v>
      </c>
      <c r="D43" t="s">
        <v>6</v>
      </c>
      <c r="E43" t="s">
        <v>417</v>
      </c>
      <c r="F43" t="s">
        <v>427</v>
      </c>
      <c r="G43" t="s">
        <v>425</v>
      </c>
      <c r="H43" s="1">
        <v>30937</v>
      </c>
      <c r="I43" s="1" t="s">
        <v>433</v>
      </c>
      <c r="J43" t="s">
        <v>455</v>
      </c>
      <c r="K43" s="20">
        <v>9.9</v>
      </c>
      <c r="L43">
        <f ca="1">TRUNC((TODAY()-tBase[[#This Row],[Data Nascimento]])/365)</f>
        <v>41</v>
      </c>
      <c r="M43" t="str">
        <f ca="1">HLOOKUP(tBase[[#This Row],[Idade]],$O$3:$R$4,2,TRUE)</f>
        <v>35 - 44</v>
      </c>
    </row>
    <row r="44" spans="2:13">
      <c r="B44" s="19">
        <v>26133183584</v>
      </c>
      <c r="C44" t="s">
        <v>228</v>
      </c>
      <c r="D44" t="s">
        <v>6</v>
      </c>
      <c r="E44" t="s">
        <v>416</v>
      </c>
      <c r="F44" t="s">
        <v>13</v>
      </c>
      <c r="G44" t="s">
        <v>425</v>
      </c>
      <c r="H44" s="1">
        <v>32741</v>
      </c>
      <c r="I44" s="1" t="s">
        <v>433</v>
      </c>
      <c r="J44" t="s">
        <v>455</v>
      </c>
      <c r="K44" s="20">
        <v>9.9</v>
      </c>
      <c r="L44">
        <f ca="1">TRUNC((TODAY()-tBase[[#This Row],[Data Nascimento]])/365)</f>
        <v>36</v>
      </c>
      <c r="M44" t="str">
        <f ca="1">HLOOKUP(tBase[[#This Row],[Idade]],$O$3:$R$4,2,TRUE)</f>
        <v>35 - 44</v>
      </c>
    </row>
    <row r="45" spans="2:13">
      <c r="B45" s="19">
        <v>26552662070</v>
      </c>
      <c r="C45" t="s">
        <v>114</v>
      </c>
      <c r="D45" t="s">
        <v>5</v>
      </c>
      <c r="E45" t="s">
        <v>417</v>
      </c>
      <c r="F45" t="s">
        <v>11</v>
      </c>
      <c r="G45" t="s">
        <v>425</v>
      </c>
      <c r="H45" s="1">
        <v>21192</v>
      </c>
      <c r="I45" s="1" t="s">
        <v>433</v>
      </c>
      <c r="J45" t="s">
        <v>456</v>
      </c>
      <c r="K45" s="20">
        <v>79.900000000000006</v>
      </c>
      <c r="L45">
        <f ca="1">TRUNC((TODAY()-tBase[[#This Row],[Data Nascimento]])/365)</f>
        <v>68</v>
      </c>
      <c r="M45" t="str">
        <f ca="1">HLOOKUP(tBase[[#This Row],[Idade]],$O$3:$R$4,2,TRUE)</f>
        <v>54-70</v>
      </c>
    </row>
    <row r="46" spans="2:13">
      <c r="B46" s="19">
        <v>26642966334</v>
      </c>
      <c r="C46" t="s">
        <v>15</v>
      </c>
      <c r="D46" t="s">
        <v>6</v>
      </c>
      <c r="E46" t="s">
        <v>417</v>
      </c>
      <c r="F46" t="s">
        <v>9</v>
      </c>
      <c r="G46" t="s">
        <v>425</v>
      </c>
      <c r="H46" s="1">
        <v>27136</v>
      </c>
      <c r="I46" s="1" t="s">
        <v>429</v>
      </c>
      <c r="J46" t="s">
        <v>455</v>
      </c>
      <c r="K46" s="20">
        <v>9.9</v>
      </c>
      <c r="L46">
        <f ca="1">TRUNC((TODAY()-tBase[[#This Row],[Data Nascimento]])/365)</f>
        <v>51</v>
      </c>
      <c r="M46" t="str">
        <f ca="1">HLOOKUP(tBase[[#This Row],[Idade]],$O$3:$R$4,2,TRUE)</f>
        <v>44 - 54</v>
      </c>
    </row>
    <row r="47" spans="2:13">
      <c r="B47" s="19">
        <v>26713299497</v>
      </c>
      <c r="C47" t="s">
        <v>288</v>
      </c>
      <c r="D47" t="s">
        <v>6</v>
      </c>
      <c r="E47" t="s">
        <v>416</v>
      </c>
      <c r="F47" t="s">
        <v>13</v>
      </c>
      <c r="G47" t="s">
        <v>425</v>
      </c>
      <c r="H47" s="1">
        <v>23231</v>
      </c>
      <c r="I47" s="1" t="s">
        <v>432</v>
      </c>
      <c r="J47" t="s">
        <v>454</v>
      </c>
      <c r="K47" s="20">
        <v>35.9</v>
      </c>
      <c r="L47">
        <f ca="1">TRUNC((TODAY()-tBase[[#This Row],[Data Nascimento]])/365)</f>
        <v>62</v>
      </c>
      <c r="M47" t="str">
        <f ca="1">HLOOKUP(tBase[[#This Row],[Idade]],$O$3:$R$4,2,TRUE)</f>
        <v>54-70</v>
      </c>
    </row>
    <row r="48" spans="2:13">
      <c r="B48" s="19">
        <v>26748985558</v>
      </c>
      <c r="C48" t="s">
        <v>91</v>
      </c>
      <c r="D48" t="s">
        <v>6</v>
      </c>
      <c r="E48" t="s">
        <v>416</v>
      </c>
      <c r="F48" t="s">
        <v>12</v>
      </c>
      <c r="G48" t="s">
        <v>424</v>
      </c>
      <c r="H48" s="1">
        <v>22322</v>
      </c>
      <c r="I48" s="1" t="s">
        <v>436</v>
      </c>
      <c r="J48" t="s">
        <v>455</v>
      </c>
      <c r="K48" s="20">
        <v>9.9</v>
      </c>
      <c r="L48">
        <f ca="1">TRUNC((TODAY()-tBase[[#This Row],[Data Nascimento]])/365)</f>
        <v>65</v>
      </c>
      <c r="M48" t="str">
        <f ca="1">HLOOKUP(tBase[[#This Row],[Idade]],$O$3:$R$4,2,TRUE)</f>
        <v>54-70</v>
      </c>
    </row>
    <row r="49" spans="2:13">
      <c r="B49" s="19">
        <v>26768816675</v>
      </c>
      <c r="C49" t="s">
        <v>110</v>
      </c>
      <c r="D49" t="s">
        <v>5</v>
      </c>
      <c r="E49" t="s">
        <v>7</v>
      </c>
      <c r="F49" t="s">
        <v>13</v>
      </c>
      <c r="G49" t="s">
        <v>426</v>
      </c>
      <c r="H49" s="1">
        <v>32712</v>
      </c>
      <c r="I49" s="1" t="s">
        <v>436</v>
      </c>
      <c r="J49" t="s">
        <v>455</v>
      </c>
      <c r="K49" s="20">
        <v>9.9</v>
      </c>
      <c r="L49">
        <f ca="1">TRUNC((TODAY()-tBase[[#This Row],[Data Nascimento]])/365)</f>
        <v>36</v>
      </c>
      <c r="M49" t="str">
        <f ca="1">HLOOKUP(tBase[[#This Row],[Idade]],$O$3:$R$4,2,TRUE)</f>
        <v>35 - 44</v>
      </c>
    </row>
    <row r="50" spans="2:13">
      <c r="B50" s="19">
        <v>26864897176</v>
      </c>
      <c r="C50" t="s">
        <v>352</v>
      </c>
      <c r="D50" t="s">
        <v>6</v>
      </c>
      <c r="E50" t="s">
        <v>8</v>
      </c>
      <c r="F50" t="s">
        <v>14</v>
      </c>
      <c r="G50" t="s">
        <v>425</v>
      </c>
      <c r="H50" s="1">
        <v>23831</v>
      </c>
      <c r="I50" s="1" t="s">
        <v>436</v>
      </c>
      <c r="J50" t="s">
        <v>453</v>
      </c>
      <c r="K50" s="20">
        <v>29.9</v>
      </c>
      <c r="L50">
        <f ca="1">TRUNC((TODAY()-tBase[[#This Row],[Data Nascimento]])/365)</f>
        <v>60</v>
      </c>
      <c r="M50" t="str">
        <f ca="1">HLOOKUP(tBase[[#This Row],[Idade]],$O$3:$R$4,2,TRUE)</f>
        <v>54-70</v>
      </c>
    </row>
    <row r="51" spans="2:13">
      <c r="B51" s="19">
        <v>26887944990</v>
      </c>
      <c r="C51" t="s">
        <v>361</v>
      </c>
      <c r="D51" t="s">
        <v>6</v>
      </c>
      <c r="E51" t="s">
        <v>417</v>
      </c>
      <c r="F51" t="s">
        <v>12</v>
      </c>
      <c r="G51" t="s">
        <v>425</v>
      </c>
      <c r="H51" s="1">
        <v>25897</v>
      </c>
      <c r="I51" s="1" t="s">
        <v>436</v>
      </c>
      <c r="J51" t="s">
        <v>454</v>
      </c>
      <c r="K51" s="20">
        <v>35.9</v>
      </c>
      <c r="L51">
        <f ca="1">TRUNC((TODAY()-tBase[[#This Row],[Data Nascimento]])/365)</f>
        <v>55</v>
      </c>
      <c r="M51" t="str">
        <f ca="1">HLOOKUP(tBase[[#This Row],[Idade]],$O$3:$R$4,2,TRUE)</f>
        <v>54-70</v>
      </c>
    </row>
    <row r="52" spans="2:13">
      <c r="B52" s="19">
        <v>27177199946</v>
      </c>
      <c r="C52" t="s">
        <v>277</v>
      </c>
      <c r="D52" t="s">
        <v>5</v>
      </c>
      <c r="E52" t="s">
        <v>7</v>
      </c>
      <c r="F52" t="s">
        <v>427</v>
      </c>
      <c r="G52" t="s">
        <v>425</v>
      </c>
      <c r="H52" s="1">
        <v>34831</v>
      </c>
      <c r="I52" s="1" t="s">
        <v>436</v>
      </c>
      <c r="J52" t="s">
        <v>454</v>
      </c>
      <c r="K52" s="20">
        <v>35.9</v>
      </c>
      <c r="L52">
        <f ca="1">TRUNC((TODAY()-tBase[[#This Row],[Data Nascimento]])/365)</f>
        <v>30</v>
      </c>
      <c r="M52" t="str">
        <f ca="1">HLOOKUP(tBase[[#This Row],[Idade]],$O$3:$R$4,2,TRUE)</f>
        <v>24-34</v>
      </c>
    </row>
    <row r="53" spans="2:13">
      <c r="B53" s="19">
        <v>27285805125</v>
      </c>
      <c r="C53" t="s">
        <v>296</v>
      </c>
      <c r="D53" t="s">
        <v>5</v>
      </c>
      <c r="E53" t="s">
        <v>7</v>
      </c>
      <c r="F53" t="s">
        <v>13</v>
      </c>
      <c r="G53" t="s">
        <v>426</v>
      </c>
      <c r="H53" s="1">
        <v>31848</v>
      </c>
      <c r="I53" s="1" t="s">
        <v>436</v>
      </c>
      <c r="J53" t="s">
        <v>453</v>
      </c>
      <c r="K53" s="20">
        <v>29.9</v>
      </c>
      <c r="L53">
        <f ca="1">TRUNC((TODAY()-tBase[[#This Row],[Data Nascimento]])/365)</f>
        <v>38</v>
      </c>
      <c r="M53" t="str">
        <f ca="1">HLOOKUP(tBase[[#This Row],[Idade]],$O$3:$R$4,2,TRUE)</f>
        <v>35 - 44</v>
      </c>
    </row>
    <row r="54" spans="2:13">
      <c r="B54" s="19">
        <v>27448464474</v>
      </c>
      <c r="C54" t="s">
        <v>206</v>
      </c>
      <c r="D54" t="s">
        <v>5</v>
      </c>
      <c r="E54" t="s">
        <v>417</v>
      </c>
      <c r="F54" t="s">
        <v>13</v>
      </c>
      <c r="G54" t="s">
        <v>426</v>
      </c>
      <c r="H54" s="1">
        <v>26478</v>
      </c>
      <c r="I54" s="1" t="s">
        <v>435</v>
      </c>
      <c r="J54" t="s">
        <v>455</v>
      </c>
      <c r="K54" s="20">
        <v>9.9</v>
      </c>
      <c r="L54">
        <f ca="1">TRUNC((TODAY()-tBase[[#This Row],[Data Nascimento]])/365)</f>
        <v>53</v>
      </c>
      <c r="M54" t="str">
        <f ca="1">HLOOKUP(tBase[[#This Row],[Idade]],$O$3:$R$4,2,TRUE)</f>
        <v>44 - 54</v>
      </c>
    </row>
    <row r="55" spans="2:13">
      <c r="B55" s="19">
        <v>27575618320</v>
      </c>
      <c r="C55" t="s">
        <v>267</v>
      </c>
      <c r="D55" t="s">
        <v>5</v>
      </c>
      <c r="E55" t="s">
        <v>7</v>
      </c>
      <c r="F55" t="s">
        <v>9</v>
      </c>
      <c r="G55" t="s">
        <v>425</v>
      </c>
      <c r="H55" s="1">
        <v>34634</v>
      </c>
      <c r="I55" s="1" t="s">
        <v>433</v>
      </c>
      <c r="J55" t="s">
        <v>455</v>
      </c>
      <c r="K55" s="20">
        <v>9.9</v>
      </c>
      <c r="L55">
        <f ca="1">TRUNC((TODAY()-tBase[[#This Row],[Data Nascimento]])/365)</f>
        <v>31</v>
      </c>
      <c r="M55" t="str">
        <f ca="1">HLOOKUP(tBase[[#This Row],[Idade]],$O$3:$R$4,2,TRUE)</f>
        <v>24-34</v>
      </c>
    </row>
    <row r="56" spans="2:13">
      <c r="B56" s="19">
        <v>27679793781</v>
      </c>
      <c r="C56" t="s">
        <v>82</v>
      </c>
      <c r="D56" t="s">
        <v>5</v>
      </c>
      <c r="E56" t="s">
        <v>8</v>
      </c>
      <c r="F56" t="s">
        <v>14</v>
      </c>
      <c r="G56" t="s">
        <v>424</v>
      </c>
      <c r="H56" s="1">
        <v>22322</v>
      </c>
      <c r="I56" s="1" t="s">
        <v>433</v>
      </c>
      <c r="J56" t="s">
        <v>453</v>
      </c>
      <c r="K56" s="20">
        <v>29.9</v>
      </c>
      <c r="L56">
        <f ca="1">TRUNC((TODAY()-tBase[[#This Row],[Data Nascimento]])/365)</f>
        <v>65</v>
      </c>
      <c r="M56" t="str">
        <f ca="1">HLOOKUP(tBase[[#This Row],[Idade]],$O$3:$R$4,2,TRUE)</f>
        <v>54-70</v>
      </c>
    </row>
    <row r="57" spans="2:13">
      <c r="B57" s="19">
        <v>27696929974</v>
      </c>
      <c r="C57" t="s">
        <v>212</v>
      </c>
      <c r="D57" t="s">
        <v>6</v>
      </c>
      <c r="E57" t="s">
        <v>8</v>
      </c>
      <c r="F57" t="s">
        <v>13</v>
      </c>
      <c r="G57" t="s">
        <v>425</v>
      </c>
      <c r="H57" s="1">
        <v>23205</v>
      </c>
      <c r="I57" s="1" t="s">
        <v>433</v>
      </c>
      <c r="J57" t="s">
        <v>455</v>
      </c>
      <c r="K57" s="20">
        <v>9.9</v>
      </c>
      <c r="L57">
        <f ca="1">TRUNC((TODAY()-tBase[[#This Row],[Data Nascimento]])/365)</f>
        <v>62</v>
      </c>
      <c r="M57" t="str">
        <f ca="1">HLOOKUP(tBase[[#This Row],[Idade]],$O$3:$R$4,2,TRUE)</f>
        <v>54-70</v>
      </c>
    </row>
    <row r="58" spans="2:13">
      <c r="B58" s="19">
        <v>27712009563</v>
      </c>
      <c r="C58" t="s">
        <v>83</v>
      </c>
      <c r="D58" t="s">
        <v>6</v>
      </c>
      <c r="E58" t="s">
        <v>7</v>
      </c>
      <c r="F58" t="s">
        <v>13</v>
      </c>
      <c r="G58" t="s">
        <v>424</v>
      </c>
      <c r="H58" s="1">
        <v>24329</v>
      </c>
      <c r="I58" s="1" t="s">
        <v>433</v>
      </c>
      <c r="J58" t="s">
        <v>453</v>
      </c>
      <c r="K58" s="20">
        <v>29.9</v>
      </c>
      <c r="L58">
        <f ca="1">TRUNC((TODAY()-tBase[[#This Row],[Data Nascimento]])/365)</f>
        <v>59</v>
      </c>
      <c r="M58" t="str">
        <f ca="1">HLOOKUP(tBase[[#This Row],[Idade]],$O$3:$R$4,2,TRUE)</f>
        <v>54-70</v>
      </c>
    </row>
    <row r="59" spans="2:13">
      <c r="B59" s="19">
        <v>27720063292</v>
      </c>
      <c r="C59" t="s">
        <v>347</v>
      </c>
      <c r="D59" t="s">
        <v>5</v>
      </c>
      <c r="E59" t="s">
        <v>7</v>
      </c>
      <c r="F59" t="s">
        <v>13</v>
      </c>
      <c r="G59" t="s">
        <v>425</v>
      </c>
      <c r="H59" s="1">
        <v>32864</v>
      </c>
      <c r="I59" s="1" t="s">
        <v>433</v>
      </c>
      <c r="J59" t="s">
        <v>453</v>
      </c>
      <c r="K59" s="20">
        <v>29.9</v>
      </c>
      <c r="L59">
        <f ca="1">TRUNC((TODAY()-tBase[[#This Row],[Data Nascimento]])/365)</f>
        <v>36</v>
      </c>
      <c r="M59" t="str">
        <f ca="1">HLOOKUP(tBase[[#This Row],[Idade]],$O$3:$R$4,2,TRUE)</f>
        <v>35 - 44</v>
      </c>
    </row>
    <row r="60" spans="2:13">
      <c r="B60" s="19">
        <v>27733422032</v>
      </c>
      <c r="C60" t="s">
        <v>196</v>
      </c>
      <c r="D60" t="s">
        <v>5</v>
      </c>
      <c r="E60" t="s">
        <v>7</v>
      </c>
      <c r="F60" t="s">
        <v>14</v>
      </c>
      <c r="G60" t="s">
        <v>426</v>
      </c>
      <c r="H60" s="1">
        <v>32343</v>
      </c>
      <c r="I60" s="1" t="s">
        <v>430</v>
      </c>
      <c r="J60" t="s">
        <v>453</v>
      </c>
      <c r="K60" s="20">
        <v>29.9</v>
      </c>
      <c r="L60">
        <f ca="1">TRUNC((TODAY()-tBase[[#This Row],[Data Nascimento]])/365)</f>
        <v>37</v>
      </c>
      <c r="M60" t="str">
        <f ca="1">HLOOKUP(tBase[[#This Row],[Idade]],$O$3:$R$4,2,TRUE)</f>
        <v>35 - 44</v>
      </c>
    </row>
    <row r="61" spans="2:13">
      <c r="B61" s="19">
        <v>27882905440</v>
      </c>
      <c r="C61" t="s">
        <v>240</v>
      </c>
      <c r="D61" t="s">
        <v>6</v>
      </c>
      <c r="E61" t="s">
        <v>7</v>
      </c>
      <c r="F61" t="s">
        <v>13</v>
      </c>
      <c r="G61" t="s">
        <v>426</v>
      </c>
      <c r="H61" s="1">
        <v>30770</v>
      </c>
      <c r="I61" s="1" t="s">
        <v>429</v>
      </c>
      <c r="J61" t="s">
        <v>454</v>
      </c>
      <c r="K61" s="20">
        <v>35.9</v>
      </c>
      <c r="L61">
        <f ca="1">TRUNC((TODAY()-tBase[[#This Row],[Data Nascimento]])/365)</f>
        <v>41</v>
      </c>
      <c r="M61" t="str">
        <f ca="1">HLOOKUP(tBase[[#This Row],[Idade]],$O$3:$R$4,2,TRUE)</f>
        <v>35 - 44</v>
      </c>
    </row>
    <row r="62" spans="2:13">
      <c r="B62" s="19">
        <v>27972353916</v>
      </c>
      <c r="C62" t="s">
        <v>95</v>
      </c>
      <c r="D62" t="s">
        <v>6</v>
      </c>
      <c r="E62" t="s">
        <v>417</v>
      </c>
      <c r="F62" t="s">
        <v>427</v>
      </c>
      <c r="G62" t="s">
        <v>425</v>
      </c>
      <c r="H62" s="1">
        <v>26420</v>
      </c>
      <c r="I62" s="1" t="s">
        <v>431</v>
      </c>
      <c r="J62" t="s">
        <v>453</v>
      </c>
      <c r="K62" s="20">
        <v>29.9</v>
      </c>
      <c r="L62">
        <f ca="1">TRUNC((TODAY()-tBase[[#This Row],[Data Nascimento]])/365)</f>
        <v>53</v>
      </c>
      <c r="M62" t="str">
        <f ca="1">HLOOKUP(tBase[[#This Row],[Idade]],$O$3:$R$4,2,TRUE)</f>
        <v>44 - 54</v>
      </c>
    </row>
    <row r="63" spans="2:13">
      <c r="B63" s="19">
        <v>28013158370</v>
      </c>
      <c r="C63" t="s">
        <v>410</v>
      </c>
      <c r="D63" t="s">
        <v>5</v>
      </c>
      <c r="E63" t="s">
        <v>7</v>
      </c>
      <c r="F63" t="s">
        <v>13</v>
      </c>
      <c r="G63" t="s">
        <v>426</v>
      </c>
      <c r="H63" s="1">
        <v>21076</v>
      </c>
      <c r="I63" s="1" t="s">
        <v>432</v>
      </c>
      <c r="J63" t="s">
        <v>456</v>
      </c>
      <c r="K63" s="20">
        <v>79.900000000000006</v>
      </c>
      <c r="L63">
        <f ca="1">TRUNC((TODAY()-tBase[[#This Row],[Data Nascimento]])/365)</f>
        <v>68</v>
      </c>
      <c r="M63" t="str">
        <f ca="1">HLOOKUP(tBase[[#This Row],[Idade]],$O$3:$R$4,2,TRUE)</f>
        <v>54-70</v>
      </c>
    </row>
    <row r="64" spans="2:13">
      <c r="B64" s="19">
        <v>28054126958</v>
      </c>
      <c r="C64" t="s">
        <v>413</v>
      </c>
      <c r="D64" t="s">
        <v>6</v>
      </c>
      <c r="E64" t="s">
        <v>7</v>
      </c>
      <c r="F64" t="s">
        <v>427</v>
      </c>
      <c r="G64" t="s">
        <v>424</v>
      </c>
      <c r="H64" s="1">
        <v>29830</v>
      </c>
      <c r="I64" s="1" t="s">
        <v>434</v>
      </c>
      <c r="J64" t="s">
        <v>454</v>
      </c>
      <c r="K64" s="20">
        <v>35.9</v>
      </c>
      <c r="L64">
        <f ca="1">TRUNC((TODAY()-tBase[[#This Row],[Data Nascimento]])/365)</f>
        <v>44</v>
      </c>
      <c r="M64" t="str">
        <f ca="1">HLOOKUP(tBase[[#This Row],[Idade]],$O$3:$R$4,2,TRUE)</f>
        <v>44 - 54</v>
      </c>
    </row>
    <row r="65" spans="2:13">
      <c r="B65" s="19">
        <v>28153849933</v>
      </c>
      <c r="C65" t="s">
        <v>242</v>
      </c>
      <c r="D65" t="s">
        <v>6</v>
      </c>
      <c r="E65" t="s">
        <v>8</v>
      </c>
      <c r="F65" t="s">
        <v>13</v>
      </c>
      <c r="G65" t="s">
        <v>424</v>
      </c>
      <c r="H65" s="1">
        <v>27315</v>
      </c>
      <c r="I65" s="1" t="s">
        <v>430</v>
      </c>
      <c r="J65" t="s">
        <v>456</v>
      </c>
      <c r="K65" s="20">
        <v>79.900000000000006</v>
      </c>
      <c r="L65">
        <f ca="1">TRUNC((TODAY()-tBase[[#This Row],[Data Nascimento]])/365)</f>
        <v>51</v>
      </c>
      <c r="M65" t="str">
        <f ca="1">HLOOKUP(tBase[[#This Row],[Idade]],$O$3:$R$4,2,TRUE)</f>
        <v>44 - 54</v>
      </c>
    </row>
    <row r="66" spans="2:13">
      <c r="B66" s="19">
        <v>28166551614</v>
      </c>
      <c r="C66" t="s">
        <v>162</v>
      </c>
      <c r="D66" t="s">
        <v>5</v>
      </c>
      <c r="E66" t="s">
        <v>8</v>
      </c>
      <c r="F66" t="s">
        <v>11</v>
      </c>
      <c r="G66" t="s">
        <v>424</v>
      </c>
      <c r="H66" s="1">
        <v>30656</v>
      </c>
      <c r="I66" s="1" t="s">
        <v>435</v>
      </c>
      <c r="J66" t="s">
        <v>456</v>
      </c>
      <c r="K66" s="20">
        <v>79.900000000000006</v>
      </c>
      <c r="L66">
        <f ca="1">TRUNC((TODAY()-tBase[[#This Row],[Data Nascimento]])/365)</f>
        <v>42</v>
      </c>
      <c r="M66" t="str">
        <f ca="1">HLOOKUP(tBase[[#This Row],[Idade]],$O$3:$R$4,2,TRUE)</f>
        <v>35 - 44</v>
      </c>
    </row>
    <row r="67" spans="2:13">
      <c r="B67" s="19">
        <v>28200818797</v>
      </c>
      <c r="C67" t="s">
        <v>231</v>
      </c>
      <c r="D67" t="s">
        <v>5</v>
      </c>
      <c r="E67" t="s">
        <v>417</v>
      </c>
      <c r="F67" t="s">
        <v>9</v>
      </c>
      <c r="G67" t="s">
        <v>424</v>
      </c>
      <c r="H67" s="1">
        <v>28922</v>
      </c>
      <c r="I67" s="1" t="s">
        <v>436</v>
      </c>
      <c r="J67" t="s">
        <v>453</v>
      </c>
      <c r="K67" s="20">
        <v>29.9</v>
      </c>
      <c r="L67">
        <f ca="1">TRUNC((TODAY()-tBase[[#This Row],[Data Nascimento]])/365)</f>
        <v>46</v>
      </c>
      <c r="M67" t="str">
        <f ca="1">HLOOKUP(tBase[[#This Row],[Idade]],$O$3:$R$4,2,TRUE)</f>
        <v>44 - 54</v>
      </c>
    </row>
    <row r="68" spans="2:13">
      <c r="B68" s="19">
        <v>28435465592</v>
      </c>
      <c r="C68" t="s">
        <v>34</v>
      </c>
      <c r="D68" t="s">
        <v>5</v>
      </c>
      <c r="E68" t="s">
        <v>417</v>
      </c>
      <c r="F68" t="s">
        <v>14</v>
      </c>
      <c r="G68" t="s">
        <v>425</v>
      </c>
      <c r="H68" s="1">
        <v>34132</v>
      </c>
      <c r="I68" s="1" t="s">
        <v>430</v>
      </c>
      <c r="J68" t="s">
        <v>453</v>
      </c>
      <c r="K68" s="20">
        <v>29.9</v>
      </c>
      <c r="L68">
        <f ca="1">TRUNC((TODAY()-tBase[[#This Row],[Data Nascimento]])/365)</f>
        <v>32</v>
      </c>
      <c r="M68" t="str">
        <f ca="1">HLOOKUP(tBase[[#This Row],[Idade]],$O$3:$R$4,2,TRUE)</f>
        <v>24-34</v>
      </c>
    </row>
    <row r="69" spans="2:13">
      <c r="B69" s="19">
        <v>28452088771</v>
      </c>
      <c r="C69" t="s">
        <v>261</v>
      </c>
      <c r="D69" t="s">
        <v>6</v>
      </c>
      <c r="E69" t="s">
        <v>417</v>
      </c>
      <c r="F69" t="s">
        <v>427</v>
      </c>
      <c r="G69" t="s">
        <v>425</v>
      </c>
      <c r="H69" s="1">
        <v>30501</v>
      </c>
      <c r="I69" s="1" t="s">
        <v>435</v>
      </c>
      <c r="J69" t="s">
        <v>455</v>
      </c>
      <c r="K69" s="20">
        <v>9.9</v>
      </c>
      <c r="L69">
        <f ca="1">TRUNC((TODAY()-tBase[[#This Row],[Data Nascimento]])/365)</f>
        <v>42</v>
      </c>
      <c r="M69" t="str">
        <f ca="1">HLOOKUP(tBase[[#This Row],[Idade]],$O$3:$R$4,2,TRUE)</f>
        <v>35 - 44</v>
      </c>
    </row>
    <row r="70" spans="2:13">
      <c r="B70" s="19">
        <v>28472708104</v>
      </c>
      <c r="C70" t="s">
        <v>245</v>
      </c>
      <c r="D70" t="s">
        <v>5</v>
      </c>
      <c r="E70" t="s">
        <v>7</v>
      </c>
      <c r="F70" t="s">
        <v>427</v>
      </c>
      <c r="G70" t="s">
        <v>425</v>
      </c>
      <c r="H70" s="1">
        <v>29241</v>
      </c>
      <c r="I70" s="1" t="s">
        <v>436</v>
      </c>
      <c r="J70" t="s">
        <v>454</v>
      </c>
      <c r="K70" s="20">
        <v>35.9</v>
      </c>
      <c r="L70">
        <f ca="1">TRUNC((TODAY()-tBase[[#This Row],[Data Nascimento]])/365)</f>
        <v>46</v>
      </c>
      <c r="M70" t="str">
        <f ca="1">HLOOKUP(tBase[[#This Row],[Idade]],$O$3:$R$4,2,TRUE)</f>
        <v>44 - 54</v>
      </c>
    </row>
    <row r="71" spans="2:13">
      <c r="B71" s="19">
        <v>28577291217</v>
      </c>
      <c r="C71" t="s">
        <v>224</v>
      </c>
      <c r="D71" t="s">
        <v>6</v>
      </c>
      <c r="E71" t="s">
        <v>417</v>
      </c>
      <c r="F71" t="s">
        <v>13</v>
      </c>
      <c r="G71" t="s">
        <v>425</v>
      </c>
      <c r="H71" s="1">
        <v>30423</v>
      </c>
      <c r="I71" s="1" t="s">
        <v>433</v>
      </c>
      <c r="J71" t="s">
        <v>453</v>
      </c>
      <c r="K71" s="20">
        <v>29.9</v>
      </c>
      <c r="L71">
        <f ca="1">TRUNC((TODAY()-tBase[[#This Row],[Data Nascimento]])/365)</f>
        <v>42</v>
      </c>
      <c r="M71" t="str">
        <f ca="1">HLOOKUP(tBase[[#This Row],[Idade]],$O$3:$R$4,2,TRUE)</f>
        <v>35 - 44</v>
      </c>
    </row>
    <row r="72" spans="2:13">
      <c r="B72" s="19">
        <v>28722728237</v>
      </c>
      <c r="C72" t="s">
        <v>402</v>
      </c>
      <c r="D72" t="s">
        <v>5</v>
      </c>
      <c r="E72" t="s">
        <v>8</v>
      </c>
      <c r="F72" t="s">
        <v>11</v>
      </c>
      <c r="G72" t="s">
        <v>424</v>
      </c>
      <c r="H72" s="1">
        <v>32588</v>
      </c>
      <c r="I72" s="1" t="s">
        <v>433</v>
      </c>
      <c r="J72" t="s">
        <v>456</v>
      </c>
      <c r="K72" s="20">
        <v>79.900000000000006</v>
      </c>
      <c r="L72">
        <f ca="1">TRUNC((TODAY()-tBase[[#This Row],[Data Nascimento]])/365)</f>
        <v>36</v>
      </c>
      <c r="M72" t="str">
        <f ca="1">HLOOKUP(tBase[[#This Row],[Idade]],$O$3:$R$4,2,TRUE)</f>
        <v>35 - 44</v>
      </c>
    </row>
    <row r="73" spans="2:13">
      <c r="B73" s="19">
        <v>28746452670</v>
      </c>
      <c r="C73" t="s">
        <v>122</v>
      </c>
      <c r="D73" t="s">
        <v>6</v>
      </c>
      <c r="E73" t="s">
        <v>8</v>
      </c>
      <c r="F73" t="s">
        <v>13</v>
      </c>
      <c r="G73" t="s">
        <v>424</v>
      </c>
      <c r="H73" s="1">
        <v>34194</v>
      </c>
      <c r="I73" s="1" t="s">
        <v>433</v>
      </c>
      <c r="J73" t="s">
        <v>456</v>
      </c>
      <c r="K73" s="20">
        <v>79.900000000000006</v>
      </c>
      <c r="L73">
        <f ca="1">TRUNC((TODAY()-tBase[[#This Row],[Data Nascimento]])/365)</f>
        <v>32</v>
      </c>
      <c r="M73" t="str">
        <f ca="1">HLOOKUP(tBase[[#This Row],[Idade]],$O$3:$R$4,2,TRUE)</f>
        <v>24-34</v>
      </c>
    </row>
    <row r="74" spans="2:13">
      <c r="B74" s="19">
        <v>28755892068</v>
      </c>
      <c r="C74" t="s">
        <v>225</v>
      </c>
      <c r="D74" t="s">
        <v>5</v>
      </c>
      <c r="E74" t="s">
        <v>7</v>
      </c>
      <c r="F74" t="s">
        <v>427</v>
      </c>
      <c r="G74" t="s">
        <v>425</v>
      </c>
      <c r="H74" s="1">
        <v>21223</v>
      </c>
      <c r="I74" s="1" t="s">
        <v>433</v>
      </c>
      <c r="J74" t="s">
        <v>455</v>
      </c>
      <c r="K74" s="20">
        <v>9.9</v>
      </c>
      <c r="L74">
        <f ca="1">TRUNC((TODAY()-tBase[[#This Row],[Data Nascimento]])/365)</f>
        <v>68</v>
      </c>
      <c r="M74" t="str">
        <f ca="1">HLOOKUP(tBase[[#This Row],[Idade]],$O$3:$R$4,2,TRUE)</f>
        <v>54-70</v>
      </c>
    </row>
    <row r="75" spans="2:13">
      <c r="B75" s="19">
        <v>28940705644</v>
      </c>
      <c r="C75" t="s">
        <v>61</v>
      </c>
      <c r="D75" t="s">
        <v>6</v>
      </c>
      <c r="E75" t="s">
        <v>417</v>
      </c>
      <c r="F75" t="s">
        <v>427</v>
      </c>
      <c r="G75" t="s">
        <v>425</v>
      </c>
      <c r="H75" s="1">
        <v>25527</v>
      </c>
      <c r="I75" s="1" t="s">
        <v>433</v>
      </c>
      <c r="J75" t="s">
        <v>454</v>
      </c>
      <c r="K75" s="20">
        <v>35.9</v>
      </c>
      <c r="L75">
        <f ca="1">TRUNC((TODAY()-tBase[[#This Row],[Data Nascimento]])/365)</f>
        <v>56</v>
      </c>
      <c r="M75" t="str">
        <f ca="1">HLOOKUP(tBase[[#This Row],[Idade]],$O$3:$R$4,2,TRUE)</f>
        <v>54-70</v>
      </c>
    </row>
    <row r="76" spans="2:13">
      <c r="B76" s="19">
        <v>29031986542</v>
      </c>
      <c r="C76" t="s">
        <v>115</v>
      </c>
      <c r="D76" t="s">
        <v>5</v>
      </c>
      <c r="E76" t="s">
        <v>417</v>
      </c>
      <c r="F76" t="s">
        <v>12</v>
      </c>
      <c r="G76" t="s">
        <v>425</v>
      </c>
      <c r="H76" s="1">
        <v>21026</v>
      </c>
      <c r="I76" s="1" t="s">
        <v>433</v>
      </c>
      <c r="J76" t="s">
        <v>455</v>
      </c>
      <c r="K76" s="20">
        <v>9.9</v>
      </c>
      <c r="L76">
        <f ca="1">TRUNC((TODAY()-tBase[[#This Row],[Data Nascimento]])/365)</f>
        <v>68</v>
      </c>
      <c r="M76" t="str">
        <f ca="1">HLOOKUP(tBase[[#This Row],[Idade]],$O$3:$R$4,2,TRUE)</f>
        <v>54-70</v>
      </c>
    </row>
    <row r="77" spans="2:13">
      <c r="B77" s="19">
        <v>29058531849</v>
      </c>
      <c r="C77" t="s">
        <v>269</v>
      </c>
      <c r="D77" t="s">
        <v>6</v>
      </c>
      <c r="E77" t="s">
        <v>8</v>
      </c>
      <c r="F77" t="s">
        <v>427</v>
      </c>
      <c r="G77" t="s">
        <v>426</v>
      </c>
      <c r="H77" s="1">
        <v>23599</v>
      </c>
      <c r="I77" s="1" t="s">
        <v>433</v>
      </c>
      <c r="J77" t="s">
        <v>454</v>
      </c>
      <c r="K77" s="20">
        <v>35.9</v>
      </c>
      <c r="L77">
        <f ca="1">TRUNC((TODAY()-tBase[[#This Row],[Data Nascimento]])/365)</f>
        <v>61</v>
      </c>
      <c r="M77" t="str">
        <f ca="1">HLOOKUP(tBase[[#This Row],[Idade]],$O$3:$R$4,2,TRUE)</f>
        <v>54-70</v>
      </c>
    </row>
    <row r="78" spans="2:13">
      <c r="B78" s="19">
        <v>29062765488</v>
      </c>
      <c r="C78" t="s">
        <v>193</v>
      </c>
      <c r="D78" t="s">
        <v>5</v>
      </c>
      <c r="E78" t="s">
        <v>7</v>
      </c>
      <c r="F78" t="s">
        <v>12</v>
      </c>
      <c r="G78" t="s">
        <v>424</v>
      </c>
      <c r="H78" s="1">
        <v>21028</v>
      </c>
      <c r="I78" s="1" t="s">
        <v>433</v>
      </c>
      <c r="J78" t="s">
        <v>454</v>
      </c>
      <c r="K78" s="20">
        <v>35.9</v>
      </c>
      <c r="L78">
        <f ca="1">TRUNC((TODAY()-tBase[[#This Row],[Data Nascimento]])/365)</f>
        <v>68</v>
      </c>
      <c r="M78" t="str">
        <f ca="1">HLOOKUP(tBase[[#This Row],[Idade]],$O$3:$R$4,2,TRUE)</f>
        <v>54-70</v>
      </c>
    </row>
    <row r="79" spans="2:13">
      <c r="B79" s="19">
        <v>29127263778</v>
      </c>
      <c r="C79" t="s">
        <v>97</v>
      </c>
      <c r="D79" t="s">
        <v>6</v>
      </c>
      <c r="E79" t="s">
        <v>7</v>
      </c>
      <c r="F79" t="s">
        <v>12</v>
      </c>
      <c r="G79" t="s">
        <v>425</v>
      </c>
      <c r="H79" s="1">
        <v>29244</v>
      </c>
      <c r="I79" s="1" t="s">
        <v>433</v>
      </c>
      <c r="J79" t="s">
        <v>454</v>
      </c>
      <c r="K79" s="20">
        <v>35.9</v>
      </c>
      <c r="L79">
        <f ca="1">TRUNC((TODAY()-tBase[[#This Row],[Data Nascimento]])/365)</f>
        <v>46</v>
      </c>
      <c r="M79" t="str">
        <f ca="1">HLOOKUP(tBase[[#This Row],[Idade]],$O$3:$R$4,2,TRUE)</f>
        <v>44 - 54</v>
      </c>
    </row>
    <row r="80" spans="2:13">
      <c r="B80" s="19">
        <v>29151032854</v>
      </c>
      <c r="C80" t="s">
        <v>140</v>
      </c>
      <c r="D80" t="s">
        <v>6</v>
      </c>
      <c r="E80" t="s">
        <v>7</v>
      </c>
      <c r="F80" t="s">
        <v>13</v>
      </c>
      <c r="G80" t="s">
        <v>425</v>
      </c>
      <c r="H80" s="1">
        <v>23279</v>
      </c>
      <c r="I80" s="1" t="s">
        <v>429</v>
      </c>
      <c r="J80" t="s">
        <v>455</v>
      </c>
      <c r="K80" s="20">
        <v>9.9</v>
      </c>
      <c r="L80">
        <f ca="1">TRUNC((TODAY()-tBase[[#This Row],[Data Nascimento]])/365)</f>
        <v>62</v>
      </c>
      <c r="M80" t="str">
        <f ca="1">HLOOKUP(tBase[[#This Row],[Idade]],$O$3:$R$4,2,TRUE)</f>
        <v>54-70</v>
      </c>
    </row>
    <row r="81" spans="2:13">
      <c r="B81" s="19">
        <v>29200736829</v>
      </c>
      <c r="C81" t="s">
        <v>39</v>
      </c>
      <c r="D81" t="s">
        <v>6</v>
      </c>
      <c r="E81" t="s">
        <v>8</v>
      </c>
      <c r="F81" t="s">
        <v>9</v>
      </c>
      <c r="G81" t="s">
        <v>425</v>
      </c>
      <c r="H81" s="1">
        <v>24628</v>
      </c>
      <c r="I81" s="1" t="s">
        <v>432</v>
      </c>
      <c r="J81" t="s">
        <v>453</v>
      </c>
      <c r="K81" s="20">
        <v>29.9</v>
      </c>
      <c r="L81">
        <f ca="1">TRUNC((TODAY()-tBase[[#This Row],[Data Nascimento]])/365)</f>
        <v>58</v>
      </c>
      <c r="M81" t="str">
        <f ca="1">HLOOKUP(tBase[[#This Row],[Idade]],$O$3:$R$4,2,TRUE)</f>
        <v>54-70</v>
      </c>
    </row>
    <row r="82" spans="2:13">
      <c r="B82" s="19">
        <v>29210849513</v>
      </c>
      <c r="C82" t="s">
        <v>389</v>
      </c>
      <c r="D82" t="s">
        <v>6</v>
      </c>
      <c r="E82" t="s">
        <v>8</v>
      </c>
      <c r="F82" t="s">
        <v>427</v>
      </c>
      <c r="G82" t="s">
        <v>426</v>
      </c>
      <c r="H82" s="1">
        <v>22704</v>
      </c>
      <c r="I82" s="1" t="s">
        <v>436</v>
      </c>
      <c r="J82" t="s">
        <v>454</v>
      </c>
      <c r="K82" s="20">
        <v>35.9</v>
      </c>
      <c r="L82">
        <f ca="1">TRUNC((TODAY()-tBase[[#This Row],[Data Nascimento]])/365)</f>
        <v>63</v>
      </c>
      <c r="M82" t="str">
        <f ca="1">HLOOKUP(tBase[[#This Row],[Idade]],$O$3:$R$4,2,TRUE)</f>
        <v>54-70</v>
      </c>
    </row>
    <row r="83" spans="2:13">
      <c r="B83" s="19">
        <v>29324777441</v>
      </c>
      <c r="C83" t="s">
        <v>153</v>
      </c>
      <c r="D83" t="s">
        <v>6</v>
      </c>
      <c r="E83" t="s">
        <v>7</v>
      </c>
      <c r="F83" t="s">
        <v>427</v>
      </c>
      <c r="G83" t="s">
        <v>424</v>
      </c>
      <c r="H83" s="1">
        <v>25012</v>
      </c>
      <c r="I83" s="1" t="s">
        <v>436</v>
      </c>
      <c r="J83" t="s">
        <v>455</v>
      </c>
      <c r="K83" s="20">
        <v>9.9</v>
      </c>
      <c r="L83">
        <f ca="1">TRUNC((TODAY()-tBase[[#This Row],[Data Nascimento]])/365)</f>
        <v>57</v>
      </c>
      <c r="M83" t="str">
        <f ca="1">HLOOKUP(tBase[[#This Row],[Idade]],$O$3:$R$4,2,TRUE)</f>
        <v>54-70</v>
      </c>
    </row>
    <row r="84" spans="2:13">
      <c r="B84" s="19">
        <v>29416954094</v>
      </c>
      <c r="C84" t="s">
        <v>314</v>
      </c>
      <c r="D84" t="s">
        <v>6</v>
      </c>
      <c r="E84" t="s">
        <v>417</v>
      </c>
      <c r="F84" t="s">
        <v>13</v>
      </c>
      <c r="G84" t="s">
        <v>425</v>
      </c>
      <c r="H84" s="1">
        <v>29871</v>
      </c>
      <c r="I84" s="1" t="s">
        <v>436</v>
      </c>
      <c r="J84" t="s">
        <v>456</v>
      </c>
      <c r="K84" s="20">
        <v>79.900000000000006</v>
      </c>
      <c r="L84">
        <f ca="1">TRUNC((TODAY()-tBase[[#This Row],[Data Nascimento]])/365)</f>
        <v>44</v>
      </c>
      <c r="M84" t="str">
        <f ca="1">HLOOKUP(tBase[[#This Row],[Idade]],$O$3:$R$4,2,TRUE)</f>
        <v>44 - 54</v>
      </c>
    </row>
    <row r="85" spans="2:13">
      <c r="B85" s="19">
        <v>29550625936</v>
      </c>
      <c r="C85" t="s">
        <v>275</v>
      </c>
      <c r="D85" t="s">
        <v>5</v>
      </c>
      <c r="E85" t="s">
        <v>417</v>
      </c>
      <c r="F85" t="s">
        <v>13</v>
      </c>
      <c r="G85" t="s">
        <v>425</v>
      </c>
      <c r="H85" s="1">
        <v>29155</v>
      </c>
      <c r="I85" s="1" t="s">
        <v>436</v>
      </c>
      <c r="J85" t="s">
        <v>453</v>
      </c>
      <c r="K85" s="20">
        <v>29.9</v>
      </c>
      <c r="L85">
        <f ca="1">TRUNC((TODAY()-tBase[[#This Row],[Data Nascimento]])/365)</f>
        <v>46</v>
      </c>
      <c r="M85" t="str">
        <f ca="1">HLOOKUP(tBase[[#This Row],[Idade]],$O$3:$R$4,2,TRUE)</f>
        <v>44 - 54</v>
      </c>
    </row>
    <row r="86" spans="2:13">
      <c r="B86" s="19">
        <v>29608724794</v>
      </c>
      <c r="C86" t="s">
        <v>21</v>
      </c>
      <c r="D86" t="s">
        <v>6</v>
      </c>
      <c r="E86" t="s">
        <v>417</v>
      </c>
      <c r="F86" t="s">
        <v>427</v>
      </c>
      <c r="G86" t="s">
        <v>425</v>
      </c>
      <c r="H86" s="1">
        <v>30032</v>
      </c>
      <c r="I86" s="1" t="s">
        <v>436</v>
      </c>
      <c r="J86" t="s">
        <v>455</v>
      </c>
      <c r="K86" s="20">
        <v>9.9</v>
      </c>
      <c r="L86">
        <f ca="1">TRUNC((TODAY()-tBase[[#This Row],[Data Nascimento]])/365)</f>
        <v>43</v>
      </c>
      <c r="M86" t="str">
        <f ca="1">HLOOKUP(tBase[[#This Row],[Idade]],$O$3:$R$4,2,TRUE)</f>
        <v>35 - 44</v>
      </c>
    </row>
    <row r="87" spans="2:13">
      <c r="B87" s="19">
        <v>29617727732</v>
      </c>
      <c r="C87" t="s">
        <v>70</v>
      </c>
      <c r="D87" t="s">
        <v>5</v>
      </c>
      <c r="E87" t="s">
        <v>7</v>
      </c>
      <c r="F87" t="s">
        <v>427</v>
      </c>
      <c r="G87" t="s">
        <v>426</v>
      </c>
      <c r="H87" s="1">
        <v>32031</v>
      </c>
      <c r="I87" s="1" t="s">
        <v>436</v>
      </c>
      <c r="J87" t="s">
        <v>453</v>
      </c>
      <c r="K87" s="20">
        <v>29.9</v>
      </c>
      <c r="L87">
        <f ca="1">TRUNC((TODAY()-tBase[[#This Row],[Data Nascimento]])/365)</f>
        <v>38</v>
      </c>
      <c r="M87" t="str">
        <f ca="1">HLOOKUP(tBase[[#This Row],[Idade]],$O$3:$R$4,2,TRUE)</f>
        <v>35 - 44</v>
      </c>
    </row>
    <row r="88" spans="2:13">
      <c r="B88" s="19">
        <v>29665927499</v>
      </c>
      <c r="C88" t="s">
        <v>52</v>
      </c>
      <c r="D88" t="s">
        <v>5</v>
      </c>
      <c r="E88" t="s">
        <v>8</v>
      </c>
      <c r="F88" t="s">
        <v>14</v>
      </c>
      <c r="G88" t="s">
        <v>425</v>
      </c>
      <c r="H88" s="1">
        <v>25872</v>
      </c>
      <c r="I88" s="1" t="s">
        <v>435</v>
      </c>
      <c r="J88" t="s">
        <v>453</v>
      </c>
      <c r="K88" s="20">
        <v>29.9</v>
      </c>
      <c r="L88">
        <f ca="1">TRUNC((TODAY()-tBase[[#This Row],[Data Nascimento]])/365)</f>
        <v>55</v>
      </c>
      <c r="M88" t="str">
        <f ca="1">HLOOKUP(tBase[[#This Row],[Idade]],$O$3:$R$4,2,TRUE)</f>
        <v>54-70</v>
      </c>
    </row>
    <row r="89" spans="2:13">
      <c r="B89" s="19">
        <v>29773455762</v>
      </c>
      <c r="C89" t="s">
        <v>256</v>
      </c>
      <c r="D89" t="s">
        <v>6</v>
      </c>
      <c r="E89" t="s">
        <v>7</v>
      </c>
      <c r="F89" t="s">
        <v>14</v>
      </c>
      <c r="G89" t="s">
        <v>426</v>
      </c>
      <c r="H89" s="1">
        <v>30083</v>
      </c>
      <c r="I89" s="1" t="s">
        <v>433</v>
      </c>
      <c r="J89" t="s">
        <v>453</v>
      </c>
      <c r="K89" s="20">
        <v>29.9</v>
      </c>
      <c r="L89">
        <f ca="1">TRUNC((TODAY()-tBase[[#This Row],[Data Nascimento]])/365)</f>
        <v>43</v>
      </c>
      <c r="M89" t="str">
        <f ca="1">HLOOKUP(tBase[[#This Row],[Idade]],$O$3:$R$4,2,TRUE)</f>
        <v>35 - 44</v>
      </c>
    </row>
    <row r="90" spans="2:13">
      <c r="B90" s="19">
        <v>29806175798</v>
      </c>
      <c r="C90" t="s">
        <v>74</v>
      </c>
      <c r="D90" t="s">
        <v>5</v>
      </c>
      <c r="E90" t="s">
        <v>417</v>
      </c>
      <c r="F90" t="s">
        <v>13</v>
      </c>
      <c r="G90" t="s">
        <v>425</v>
      </c>
      <c r="H90" s="1">
        <v>27096</v>
      </c>
      <c r="I90" s="1" t="s">
        <v>433</v>
      </c>
      <c r="J90" t="s">
        <v>456</v>
      </c>
      <c r="K90" s="20">
        <v>79.900000000000006</v>
      </c>
      <c r="L90">
        <f ca="1">TRUNC((TODAY()-tBase[[#This Row],[Data Nascimento]])/365)</f>
        <v>51</v>
      </c>
      <c r="M90" t="str">
        <f ca="1">HLOOKUP(tBase[[#This Row],[Idade]],$O$3:$R$4,2,TRUE)</f>
        <v>44 - 54</v>
      </c>
    </row>
    <row r="91" spans="2:13">
      <c r="B91" s="19">
        <v>29958942950</v>
      </c>
      <c r="C91" t="s">
        <v>297</v>
      </c>
      <c r="D91" t="s">
        <v>5</v>
      </c>
      <c r="E91" t="s">
        <v>7</v>
      </c>
      <c r="F91" t="s">
        <v>427</v>
      </c>
      <c r="G91" t="s">
        <v>425</v>
      </c>
      <c r="H91" s="1">
        <v>31436</v>
      </c>
      <c r="I91" s="1" t="s">
        <v>433</v>
      </c>
      <c r="J91" t="s">
        <v>455</v>
      </c>
      <c r="K91" s="20">
        <v>9.9</v>
      </c>
      <c r="L91">
        <f ca="1">TRUNC((TODAY()-tBase[[#This Row],[Data Nascimento]])/365)</f>
        <v>40</v>
      </c>
      <c r="M91" t="str">
        <f ca="1">HLOOKUP(tBase[[#This Row],[Idade]],$O$3:$R$4,2,TRUE)</f>
        <v>35 - 44</v>
      </c>
    </row>
    <row r="92" spans="2:13">
      <c r="B92" s="19">
        <v>29997693161</v>
      </c>
      <c r="C92" t="s">
        <v>93</v>
      </c>
      <c r="D92" t="s">
        <v>6</v>
      </c>
      <c r="E92" t="s">
        <v>7</v>
      </c>
      <c r="F92" t="s">
        <v>427</v>
      </c>
      <c r="G92" t="s">
        <v>424</v>
      </c>
      <c r="H92" s="1">
        <v>28778</v>
      </c>
      <c r="I92" s="1" t="s">
        <v>433</v>
      </c>
      <c r="J92" t="s">
        <v>455</v>
      </c>
      <c r="K92" s="20">
        <v>9.9</v>
      </c>
      <c r="L92">
        <f ca="1">TRUNC((TODAY()-tBase[[#This Row],[Data Nascimento]])/365)</f>
        <v>47</v>
      </c>
      <c r="M92" t="str">
        <f ca="1">HLOOKUP(tBase[[#This Row],[Idade]],$O$3:$R$4,2,TRUE)</f>
        <v>44 - 54</v>
      </c>
    </row>
    <row r="93" spans="2:13">
      <c r="B93" s="19">
        <v>30056943664</v>
      </c>
      <c r="C93" t="s">
        <v>397</v>
      </c>
      <c r="D93" t="s">
        <v>6</v>
      </c>
      <c r="E93" t="s">
        <v>7</v>
      </c>
      <c r="F93" t="s">
        <v>427</v>
      </c>
      <c r="G93" t="s">
        <v>425</v>
      </c>
      <c r="H93" s="1">
        <v>21281</v>
      </c>
      <c r="I93" s="1" t="s">
        <v>433</v>
      </c>
      <c r="J93" t="s">
        <v>454</v>
      </c>
      <c r="K93" s="20">
        <v>35.9</v>
      </c>
      <c r="L93">
        <f ca="1">TRUNC((TODAY()-tBase[[#This Row],[Data Nascimento]])/365)</f>
        <v>67</v>
      </c>
      <c r="M93" t="str">
        <f ca="1">HLOOKUP(tBase[[#This Row],[Idade]],$O$3:$R$4,2,TRUE)</f>
        <v>54-70</v>
      </c>
    </row>
    <row r="94" spans="2:13">
      <c r="B94" s="19">
        <v>30135605541</v>
      </c>
      <c r="C94" t="s">
        <v>226</v>
      </c>
      <c r="D94" t="s">
        <v>5</v>
      </c>
      <c r="E94" t="s">
        <v>417</v>
      </c>
      <c r="F94" t="s">
        <v>14</v>
      </c>
      <c r="G94" t="s">
        <v>425</v>
      </c>
      <c r="H94" s="1">
        <v>21928</v>
      </c>
      <c r="I94" s="1" t="s">
        <v>430</v>
      </c>
      <c r="J94" t="s">
        <v>453</v>
      </c>
      <c r="K94" s="20">
        <v>29.9</v>
      </c>
      <c r="L94">
        <f ca="1">TRUNC((TODAY()-tBase[[#This Row],[Data Nascimento]])/365)</f>
        <v>66</v>
      </c>
      <c r="M94" t="str">
        <f ca="1">HLOOKUP(tBase[[#This Row],[Idade]],$O$3:$R$4,2,TRUE)</f>
        <v>54-70</v>
      </c>
    </row>
    <row r="95" spans="2:13">
      <c r="B95" s="19">
        <v>30221046505</v>
      </c>
      <c r="C95" t="s">
        <v>192</v>
      </c>
      <c r="D95" t="s">
        <v>5</v>
      </c>
      <c r="E95" t="s">
        <v>8</v>
      </c>
      <c r="F95" t="s">
        <v>13</v>
      </c>
      <c r="G95" t="s">
        <v>425</v>
      </c>
      <c r="H95" s="1">
        <v>30864</v>
      </c>
      <c r="I95" s="1" t="s">
        <v>429</v>
      </c>
      <c r="J95" t="s">
        <v>454</v>
      </c>
      <c r="K95" s="20">
        <v>35.9</v>
      </c>
      <c r="L95">
        <f ca="1">TRUNC((TODAY()-tBase[[#This Row],[Data Nascimento]])/365)</f>
        <v>41</v>
      </c>
      <c r="M95" t="str">
        <f ca="1">HLOOKUP(tBase[[#This Row],[Idade]],$O$3:$R$4,2,TRUE)</f>
        <v>35 - 44</v>
      </c>
    </row>
    <row r="96" spans="2:13">
      <c r="B96" s="19">
        <v>30253040173</v>
      </c>
      <c r="C96" t="s">
        <v>317</v>
      </c>
      <c r="D96" t="s">
        <v>5</v>
      </c>
      <c r="E96" t="s">
        <v>7</v>
      </c>
      <c r="F96" t="s">
        <v>427</v>
      </c>
      <c r="G96" t="s">
        <v>425</v>
      </c>
      <c r="H96" s="1">
        <v>26406</v>
      </c>
      <c r="I96" s="1" t="s">
        <v>431</v>
      </c>
      <c r="J96" t="s">
        <v>454</v>
      </c>
      <c r="K96" s="20">
        <v>35.9</v>
      </c>
      <c r="L96">
        <f ca="1">TRUNC((TODAY()-tBase[[#This Row],[Data Nascimento]])/365)</f>
        <v>53</v>
      </c>
      <c r="M96" t="str">
        <f ca="1">HLOOKUP(tBase[[#This Row],[Idade]],$O$3:$R$4,2,TRUE)</f>
        <v>44 - 54</v>
      </c>
    </row>
    <row r="97" spans="2:13">
      <c r="B97" s="19">
        <v>30314403216</v>
      </c>
      <c r="C97" t="s">
        <v>207</v>
      </c>
      <c r="D97" t="s">
        <v>6</v>
      </c>
      <c r="E97" t="s">
        <v>7</v>
      </c>
      <c r="F97" t="s">
        <v>9</v>
      </c>
      <c r="G97" t="s">
        <v>425</v>
      </c>
      <c r="H97" s="1">
        <v>33624</v>
      </c>
      <c r="I97" s="1" t="s">
        <v>432</v>
      </c>
      <c r="J97" t="s">
        <v>455</v>
      </c>
      <c r="K97" s="20">
        <v>9.9</v>
      </c>
      <c r="L97">
        <f ca="1">TRUNC((TODAY()-tBase[[#This Row],[Data Nascimento]])/365)</f>
        <v>34</v>
      </c>
      <c r="M97" t="str">
        <f ca="1">HLOOKUP(tBase[[#This Row],[Idade]],$O$3:$R$4,2,TRUE)</f>
        <v>24-34</v>
      </c>
    </row>
    <row r="98" spans="2:13">
      <c r="B98" s="19">
        <v>30353673725</v>
      </c>
      <c r="C98" t="s">
        <v>306</v>
      </c>
      <c r="D98" t="s">
        <v>6</v>
      </c>
      <c r="E98" t="s">
        <v>417</v>
      </c>
      <c r="F98" t="s">
        <v>11</v>
      </c>
      <c r="G98" t="s">
        <v>426</v>
      </c>
      <c r="H98" s="1">
        <v>34963</v>
      </c>
      <c r="I98" s="1" t="s">
        <v>434</v>
      </c>
      <c r="J98" t="s">
        <v>456</v>
      </c>
      <c r="K98" s="20">
        <v>79.900000000000006</v>
      </c>
      <c r="L98">
        <f ca="1">TRUNC((TODAY()-tBase[[#This Row],[Data Nascimento]])/365)</f>
        <v>30</v>
      </c>
      <c r="M98" t="str">
        <f ca="1">HLOOKUP(tBase[[#This Row],[Idade]],$O$3:$R$4,2,TRUE)</f>
        <v>24-34</v>
      </c>
    </row>
    <row r="99" spans="2:13">
      <c r="B99" s="19">
        <v>30383272945</v>
      </c>
      <c r="C99" t="s">
        <v>268</v>
      </c>
      <c r="D99" t="s">
        <v>6</v>
      </c>
      <c r="E99" t="s">
        <v>416</v>
      </c>
      <c r="F99" t="s">
        <v>14</v>
      </c>
      <c r="G99" t="s">
        <v>425</v>
      </c>
      <c r="H99" s="1">
        <v>34514</v>
      </c>
      <c r="I99" s="1" t="s">
        <v>430</v>
      </c>
      <c r="J99" t="s">
        <v>453</v>
      </c>
      <c r="K99" s="20">
        <v>29.9</v>
      </c>
      <c r="L99">
        <f ca="1">TRUNC((TODAY()-tBase[[#This Row],[Data Nascimento]])/365)</f>
        <v>31</v>
      </c>
      <c r="M99" t="str">
        <f ca="1">HLOOKUP(tBase[[#This Row],[Idade]],$O$3:$R$4,2,TRUE)</f>
        <v>24-34</v>
      </c>
    </row>
    <row r="100" spans="2:13">
      <c r="B100" s="19">
        <v>30421203942</v>
      </c>
      <c r="C100" t="s">
        <v>145</v>
      </c>
      <c r="D100" t="s">
        <v>6</v>
      </c>
      <c r="E100" t="s">
        <v>7</v>
      </c>
      <c r="F100" t="s">
        <v>12</v>
      </c>
      <c r="G100" t="s">
        <v>425</v>
      </c>
      <c r="H100" s="1">
        <v>28977</v>
      </c>
      <c r="I100" s="1" t="s">
        <v>435</v>
      </c>
      <c r="J100" t="s">
        <v>454</v>
      </c>
      <c r="K100" s="20">
        <v>35.9</v>
      </c>
      <c r="L100">
        <f ca="1">TRUNC((TODAY()-tBase[[#This Row],[Data Nascimento]])/365)</f>
        <v>46</v>
      </c>
      <c r="M100" t="str">
        <f ca="1">HLOOKUP(tBase[[#This Row],[Idade]],$O$3:$R$4,2,TRUE)</f>
        <v>44 - 54</v>
      </c>
    </row>
    <row r="101" spans="2:13">
      <c r="B101" s="19">
        <v>30468143545</v>
      </c>
      <c r="C101" t="s">
        <v>138</v>
      </c>
      <c r="D101" t="s">
        <v>6</v>
      </c>
      <c r="E101" t="s">
        <v>417</v>
      </c>
      <c r="F101" t="s">
        <v>11</v>
      </c>
      <c r="G101" t="s">
        <v>426</v>
      </c>
      <c r="H101" s="1">
        <v>31211</v>
      </c>
      <c r="I101" s="1" t="s">
        <v>436</v>
      </c>
      <c r="J101" t="s">
        <v>456</v>
      </c>
      <c r="K101" s="20">
        <v>79.900000000000006</v>
      </c>
      <c r="L101">
        <f ca="1">TRUNC((TODAY()-tBase[[#This Row],[Data Nascimento]])/365)</f>
        <v>40</v>
      </c>
      <c r="M101" t="str">
        <f ca="1">HLOOKUP(tBase[[#This Row],[Idade]],$O$3:$R$4,2,TRUE)</f>
        <v>35 - 44</v>
      </c>
    </row>
    <row r="102" spans="2:13">
      <c r="B102" s="19">
        <v>30493961253</v>
      </c>
      <c r="C102" t="s">
        <v>211</v>
      </c>
      <c r="D102" t="s">
        <v>6</v>
      </c>
      <c r="E102" t="s">
        <v>416</v>
      </c>
      <c r="F102" t="s">
        <v>12</v>
      </c>
      <c r="G102" t="s">
        <v>424</v>
      </c>
      <c r="H102" s="1">
        <v>27501</v>
      </c>
      <c r="I102" s="1" t="s">
        <v>430</v>
      </c>
      <c r="J102" t="s">
        <v>455</v>
      </c>
      <c r="K102" s="20">
        <v>9.9</v>
      </c>
      <c r="L102">
        <f ca="1">TRUNC((TODAY()-tBase[[#This Row],[Data Nascimento]])/365)</f>
        <v>50</v>
      </c>
      <c r="M102" t="str">
        <f ca="1">HLOOKUP(tBase[[#This Row],[Idade]],$O$3:$R$4,2,TRUE)</f>
        <v>44 - 54</v>
      </c>
    </row>
    <row r="103" spans="2:13">
      <c r="B103" s="19">
        <v>30557538193</v>
      </c>
      <c r="C103" t="s">
        <v>377</v>
      </c>
      <c r="D103" t="s">
        <v>6</v>
      </c>
      <c r="E103" t="s">
        <v>7</v>
      </c>
      <c r="F103" t="s">
        <v>427</v>
      </c>
      <c r="G103" t="s">
        <v>425</v>
      </c>
      <c r="H103" s="1">
        <v>25529</v>
      </c>
      <c r="I103" s="1" t="s">
        <v>435</v>
      </c>
      <c r="J103" t="s">
        <v>454</v>
      </c>
      <c r="K103" s="20">
        <v>35.9</v>
      </c>
      <c r="L103">
        <f ca="1">TRUNC((TODAY()-tBase[[#This Row],[Data Nascimento]])/365)</f>
        <v>56</v>
      </c>
      <c r="M103" t="str">
        <f ca="1">HLOOKUP(tBase[[#This Row],[Idade]],$O$3:$R$4,2,TRUE)</f>
        <v>54-70</v>
      </c>
    </row>
    <row r="104" spans="2:13">
      <c r="B104" s="19">
        <v>30571772130</v>
      </c>
      <c r="C104" t="s">
        <v>151</v>
      </c>
      <c r="D104" t="s">
        <v>6</v>
      </c>
      <c r="E104" t="s">
        <v>417</v>
      </c>
      <c r="F104" t="s">
        <v>12</v>
      </c>
      <c r="G104" t="s">
        <v>424</v>
      </c>
      <c r="H104" s="1">
        <v>34891</v>
      </c>
      <c r="I104" s="1" t="s">
        <v>436</v>
      </c>
      <c r="J104" t="s">
        <v>456</v>
      </c>
      <c r="K104" s="20">
        <v>79.900000000000006</v>
      </c>
      <c r="L104">
        <f ca="1">TRUNC((TODAY()-tBase[[#This Row],[Data Nascimento]])/365)</f>
        <v>30</v>
      </c>
      <c r="M104" t="str">
        <f ca="1">HLOOKUP(tBase[[#This Row],[Idade]],$O$3:$R$4,2,TRUE)</f>
        <v>24-34</v>
      </c>
    </row>
    <row r="105" spans="2:13">
      <c r="B105" s="19">
        <v>30735636076</v>
      </c>
      <c r="C105" t="s">
        <v>128</v>
      </c>
      <c r="D105" t="s">
        <v>6</v>
      </c>
      <c r="E105" t="s">
        <v>416</v>
      </c>
      <c r="F105" t="s">
        <v>13</v>
      </c>
      <c r="G105" t="s">
        <v>425</v>
      </c>
      <c r="H105" s="1">
        <v>31361</v>
      </c>
      <c r="I105" s="1" t="s">
        <v>433</v>
      </c>
      <c r="J105" t="s">
        <v>453</v>
      </c>
      <c r="K105" s="20">
        <v>29.9</v>
      </c>
      <c r="L105">
        <f ca="1">TRUNC((TODAY()-tBase[[#This Row],[Data Nascimento]])/365)</f>
        <v>40</v>
      </c>
      <c r="M105" t="str">
        <f ca="1">HLOOKUP(tBase[[#This Row],[Idade]],$O$3:$R$4,2,TRUE)</f>
        <v>35 - 44</v>
      </c>
    </row>
    <row r="106" spans="2:13">
      <c r="B106" s="19">
        <v>30763734385</v>
      </c>
      <c r="C106" t="s">
        <v>98</v>
      </c>
      <c r="D106" t="s">
        <v>6</v>
      </c>
      <c r="E106" t="s">
        <v>417</v>
      </c>
      <c r="F106" t="s">
        <v>13</v>
      </c>
      <c r="G106" t="s">
        <v>426</v>
      </c>
      <c r="H106" s="1">
        <v>29882</v>
      </c>
      <c r="I106" s="1" t="s">
        <v>433</v>
      </c>
      <c r="J106" t="s">
        <v>456</v>
      </c>
      <c r="K106" s="20">
        <v>79.900000000000006</v>
      </c>
      <c r="L106">
        <f ca="1">TRUNC((TODAY()-tBase[[#This Row],[Data Nascimento]])/365)</f>
        <v>44</v>
      </c>
      <c r="M106" t="str">
        <f ca="1">HLOOKUP(tBase[[#This Row],[Idade]],$O$3:$R$4,2,TRUE)</f>
        <v>44 - 54</v>
      </c>
    </row>
    <row r="107" spans="2:13">
      <c r="B107" s="19">
        <v>30850039240</v>
      </c>
      <c r="C107" t="s">
        <v>372</v>
      </c>
      <c r="D107" t="s">
        <v>5</v>
      </c>
      <c r="E107" t="s">
        <v>8</v>
      </c>
      <c r="F107" t="s">
        <v>13</v>
      </c>
      <c r="G107" t="s">
        <v>425</v>
      </c>
      <c r="H107" s="1">
        <v>33929</v>
      </c>
      <c r="I107" s="1" t="s">
        <v>433</v>
      </c>
      <c r="J107" t="s">
        <v>455</v>
      </c>
      <c r="K107" s="20">
        <v>9.9</v>
      </c>
      <c r="L107">
        <f ca="1">TRUNC((TODAY()-tBase[[#This Row],[Data Nascimento]])/365)</f>
        <v>33</v>
      </c>
      <c r="M107" t="str">
        <f ca="1">HLOOKUP(tBase[[#This Row],[Idade]],$O$3:$R$4,2,TRUE)</f>
        <v>24-34</v>
      </c>
    </row>
    <row r="108" spans="2:13">
      <c r="B108" s="19">
        <v>30890249713</v>
      </c>
      <c r="C108" t="s">
        <v>293</v>
      </c>
      <c r="D108" t="s">
        <v>6</v>
      </c>
      <c r="E108" t="s">
        <v>7</v>
      </c>
      <c r="F108" t="s">
        <v>427</v>
      </c>
      <c r="G108" t="s">
        <v>424</v>
      </c>
      <c r="H108" s="1">
        <v>31664</v>
      </c>
      <c r="I108" s="1" t="s">
        <v>433</v>
      </c>
      <c r="J108" t="s">
        <v>454</v>
      </c>
      <c r="K108" s="20">
        <v>35.9</v>
      </c>
      <c r="L108">
        <f ca="1">TRUNC((TODAY()-tBase[[#This Row],[Data Nascimento]])/365)</f>
        <v>39</v>
      </c>
      <c r="M108" t="str">
        <f ca="1">HLOOKUP(tBase[[#This Row],[Idade]],$O$3:$R$4,2,TRUE)</f>
        <v>35 - 44</v>
      </c>
    </row>
    <row r="109" spans="2:13">
      <c r="B109" s="19">
        <v>30904162810</v>
      </c>
      <c r="C109" t="s">
        <v>264</v>
      </c>
      <c r="D109" t="s">
        <v>6</v>
      </c>
      <c r="E109" t="s">
        <v>417</v>
      </c>
      <c r="F109" t="s">
        <v>13</v>
      </c>
      <c r="G109" t="s">
        <v>425</v>
      </c>
      <c r="H109" s="1">
        <v>25842</v>
      </c>
      <c r="I109" s="1" t="s">
        <v>433</v>
      </c>
      <c r="J109" t="s">
        <v>454</v>
      </c>
      <c r="K109" s="20">
        <v>35.9</v>
      </c>
      <c r="L109">
        <f ca="1">TRUNC((TODAY()-tBase[[#This Row],[Data Nascimento]])/365)</f>
        <v>55</v>
      </c>
      <c r="M109" t="str">
        <f ca="1">HLOOKUP(tBase[[#This Row],[Idade]],$O$3:$R$4,2,TRUE)</f>
        <v>54-70</v>
      </c>
    </row>
    <row r="110" spans="2:13">
      <c r="B110" s="19">
        <v>31161056912</v>
      </c>
      <c r="C110" t="s">
        <v>173</v>
      </c>
      <c r="D110" t="s">
        <v>6</v>
      </c>
      <c r="E110" t="s">
        <v>7</v>
      </c>
      <c r="F110" t="s">
        <v>427</v>
      </c>
      <c r="G110" t="s">
        <v>424</v>
      </c>
      <c r="H110" s="1">
        <v>26656</v>
      </c>
      <c r="I110" s="1" t="s">
        <v>433</v>
      </c>
      <c r="J110" t="s">
        <v>454</v>
      </c>
      <c r="K110" s="20">
        <v>35.9</v>
      </c>
      <c r="L110">
        <f ca="1">TRUNC((TODAY()-tBase[[#This Row],[Data Nascimento]])/365)</f>
        <v>53</v>
      </c>
      <c r="M110" t="str">
        <f ca="1">HLOOKUP(tBase[[#This Row],[Idade]],$O$3:$R$4,2,TRUE)</f>
        <v>44 - 54</v>
      </c>
    </row>
    <row r="111" spans="2:13">
      <c r="B111" s="19">
        <v>31194503371</v>
      </c>
      <c r="C111" t="s">
        <v>75</v>
      </c>
      <c r="D111" t="s">
        <v>6</v>
      </c>
      <c r="E111" t="s">
        <v>417</v>
      </c>
      <c r="F111" t="s">
        <v>9</v>
      </c>
      <c r="G111" t="s">
        <v>425</v>
      </c>
      <c r="H111" s="1">
        <v>29709</v>
      </c>
      <c r="I111" s="1" t="s">
        <v>433</v>
      </c>
      <c r="J111" t="s">
        <v>455</v>
      </c>
      <c r="K111" s="20">
        <v>9.9</v>
      </c>
      <c r="L111">
        <f ca="1">TRUNC((TODAY()-tBase[[#This Row],[Data Nascimento]])/365)</f>
        <v>44</v>
      </c>
      <c r="M111" t="str">
        <f ca="1">HLOOKUP(tBase[[#This Row],[Idade]],$O$3:$R$4,2,TRUE)</f>
        <v>44 - 54</v>
      </c>
    </row>
    <row r="112" spans="2:13">
      <c r="B112" s="19">
        <v>31239662843</v>
      </c>
      <c r="C112" t="s">
        <v>116</v>
      </c>
      <c r="D112" t="s">
        <v>5</v>
      </c>
      <c r="E112" t="s">
        <v>7</v>
      </c>
      <c r="F112" t="s">
        <v>13</v>
      </c>
      <c r="G112" t="s">
        <v>426</v>
      </c>
      <c r="H112" s="1">
        <v>21125</v>
      </c>
      <c r="I112" s="1" t="s">
        <v>433</v>
      </c>
      <c r="J112" t="s">
        <v>455</v>
      </c>
      <c r="K112" s="20">
        <v>9.9</v>
      </c>
      <c r="L112">
        <f ca="1">TRUNC((TODAY()-tBase[[#This Row],[Data Nascimento]])/365)</f>
        <v>68</v>
      </c>
      <c r="M112" t="str">
        <f ca="1">HLOOKUP(tBase[[#This Row],[Idade]],$O$3:$R$4,2,TRUE)</f>
        <v>54-70</v>
      </c>
    </row>
    <row r="113" spans="2:13">
      <c r="B113" s="19">
        <v>31323760929</v>
      </c>
      <c r="C113" t="s">
        <v>237</v>
      </c>
      <c r="D113" t="s">
        <v>5</v>
      </c>
      <c r="E113" t="s">
        <v>7</v>
      </c>
      <c r="F113" t="s">
        <v>427</v>
      </c>
      <c r="G113" t="s">
        <v>425</v>
      </c>
      <c r="H113" s="1">
        <v>20318</v>
      </c>
      <c r="I113" s="1" t="s">
        <v>433</v>
      </c>
      <c r="J113" t="s">
        <v>455</v>
      </c>
      <c r="K113" s="20">
        <v>9.9</v>
      </c>
      <c r="L113">
        <f ca="1">TRUNC((TODAY()-tBase[[#This Row],[Data Nascimento]])/365)</f>
        <v>70</v>
      </c>
      <c r="M113" t="str">
        <f ca="1">HLOOKUP(tBase[[#This Row],[Idade]],$O$3:$R$4,2,TRUE)</f>
        <v>54-70</v>
      </c>
    </row>
    <row r="114" spans="2:13">
      <c r="B114" s="19">
        <v>31519057095</v>
      </c>
      <c r="C114" t="s">
        <v>404</v>
      </c>
      <c r="D114" t="s">
        <v>5</v>
      </c>
      <c r="E114" t="s">
        <v>418</v>
      </c>
      <c r="F114" t="s">
        <v>13</v>
      </c>
      <c r="G114" t="s">
        <v>425</v>
      </c>
      <c r="H114" s="1">
        <v>25728</v>
      </c>
      <c r="I114" s="1" t="s">
        <v>429</v>
      </c>
      <c r="J114" t="s">
        <v>455</v>
      </c>
      <c r="K114" s="20">
        <v>9.9</v>
      </c>
      <c r="L114">
        <f ca="1">TRUNC((TODAY()-tBase[[#This Row],[Data Nascimento]])/365)</f>
        <v>55</v>
      </c>
      <c r="M114" t="str">
        <f ca="1">HLOOKUP(tBase[[#This Row],[Idade]],$O$3:$R$4,2,TRUE)</f>
        <v>54-70</v>
      </c>
    </row>
    <row r="115" spans="2:13">
      <c r="B115" s="19">
        <v>31654890307</v>
      </c>
      <c r="C115" t="s">
        <v>60</v>
      </c>
      <c r="D115" t="s">
        <v>6</v>
      </c>
      <c r="E115" t="s">
        <v>7</v>
      </c>
      <c r="F115" t="s">
        <v>13</v>
      </c>
      <c r="G115" t="s">
        <v>425</v>
      </c>
      <c r="H115" s="1">
        <v>21193</v>
      </c>
      <c r="I115" s="1" t="s">
        <v>432</v>
      </c>
      <c r="J115" t="s">
        <v>455</v>
      </c>
      <c r="K115" s="20">
        <v>9.9</v>
      </c>
      <c r="L115">
        <f ca="1">TRUNC((TODAY()-tBase[[#This Row],[Data Nascimento]])/365)</f>
        <v>68</v>
      </c>
      <c r="M115" t="str">
        <f ca="1">HLOOKUP(tBase[[#This Row],[Idade]],$O$3:$R$4,2,TRUE)</f>
        <v>54-70</v>
      </c>
    </row>
    <row r="116" spans="2:13">
      <c r="B116" s="19">
        <v>31655555649</v>
      </c>
      <c r="C116" t="s">
        <v>266</v>
      </c>
      <c r="D116" t="s">
        <v>6</v>
      </c>
      <c r="E116" t="s">
        <v>417</v>
      </c>
      <c r="F116" t="s">
        <v>13</v>
      </c>
      <c r="G116" t="s">
        <v>426</v>
      </c>
      <c r="H116" s="1">
        <v>30420</v>
      </c>
      <c r="I116" s="1" t="s">
        <v>436</v>
      </c>
      <c r="J116" t="s">
        <v>456</v>
      </c>
      <c r="K116" s="20">
        <v>79.900000000000006</v>
      </c>
      <c r="L116">
        <f ca="1">TRUNC((TODAY()-tBase[[#This Row],[Data Nascimento]])/365)</f>
        <v>42</v>
      </c>
      <c r="M116" t="str">
        <f ca="1">HLOOKUP(tBase[[#This Row],[Idade]],$O$3:$R$4,2,TRUE)</f>
        <v>35 - 44</v>
      </c>
    </row>
    <row r="117" spans="2:13">
      <c r="B117" s="19">
        <v>31834447574</v>
      </c>
      <c r="C117" t="s">
        <v>283</v>
      </c>
      <c r="D117" t="s">
        <v>6</v>
      </c>
      <c r="E117" t="s">
        <v>7</v>
      </c>
      <c r="F117" t="s">
        <v>12</v>
      </c>
      <c r="G117" t="s">
        <v>424</v>
      </c>
      <c r="H117" s="1">
        <v>33920</v>
      </c>
      <c r="I117" s="1" t="s">
        <v>436</v>
      </c>
      <c r="J117" t="s">
        <v>455</v>
      </c>
      <c r="K117" s="20">
        <v>9.9</v>
      </c>
      <c r="L117">
        <f ca="1">TRUNC((TODAY()-tBase[[#This Row],[Data Nascimento]])/365)</f>
        <v>33</v>
      </c>
      <c r="M117" t="str">
        <f ca="1">HLOOKUP(tBase[[#This Row],[Idade]],$O$3:$R$4,2,TRUE)</f>
        <v>24-34</v>
      </c>
    </row>
    <row r="118" spans="2:13">
      <c r="B118" s="19">
        <v>31841604153</v>
      </c>
      <c r="C118" t="s">
        <v>400</v>
      </c>
      <c r="D118" t="s">
        <v>6</v>
      </c>
      <c r="E118" t="s">
        <v>7</v>
      </c>
      <c r="F118" t="s">
        <v>14</v>
      </c>
      <c r="G118" t="s">
        <v>426</v>
      </c>
      <c r="H118" s="1">
        <v>30991</v>
      </c>
      <c r="I118" s="1" t="s">
        <v>436</v>
      </c>
      <c r="J118" t="s">
        <v>453</v>
      </c>
      <c r="K118" s="20">
        <v>29.9</v>
      </c>
      <c r="L118">
        <f ca="1">TRUNC((TODAY()-tBase[[#This Row],[Data Nascimento]])/365)</f>
        <v>41</v>
      </c>
      <c r="M118" t="str">
        <f ca="1">HLOOKUP(tBase[[#This Row],[Idade]],$O$3:$R$4,2,TRUE)</f>
        <v>35 - 44</v>
      </c>
    </row>
    <row r="119" spans="2:13">
      <c r="B119" s="19">
        <v>31886556092</v>
      </c>
      <c r="C119" t="s">
        <v>249</v>
      </c>
      <c r="D119" t="s">
        <v>6</v>
      </c>
      <c r="E119" t="s">
        <v>8</v>
      </c>
      <c r="F119" t="s">
        <v>427</v>
      </c>
      <c r="G119" t="s">
        <v>424</v>
      </c>
      <c r="H119" s="1">
        <v>32903</v>
      </c>
      <c r="I119" s="1" t="s">
        <v>436</v>
      </c>
      <c r="J119" t="s">
        <v>455</v>
      </c>
      <c r="K119" s="20">
        <v>9.9</v>
      </c>
      <c r="L119">
        <f ca="1">TRUNC((TODAY()-tBase[[#This Row],[Data Nascimento]])/365)</f>
        <v>36</v>
      </c>
      <c r="M119" t="str">
        <f ca="1">HLOOKUP(tBase[[#This Row],[Idade]],$O$3:$R$4,2,TRUE)</f>
        <v>35 - 44</v>
      </c>
    </row>
    <row r="120" spans="2:13">
      <c r="B120" s="19">
        <v>31935346566</v>
      </c>
      <c r="C120" t="s">
        <v>37</v>
      </c>
      <c r="D120" t="s">
        <v>6</v>
      </c>
      <c r="E120" t="s">
        <v>7</v>
      </c>
      <c r="F120" t="s">
        <v>427</v>
      </c>
      <c r="G120" t="s">
        <v>425</v>
      </c>
      <c r="H120" s="1">
        <v>23998</v>
      </c>
      <c r="I120" s="1" t="s">
        <v>436</v>
      </c>
      <c r="J120" t="s">
        <v>454</v>
      </c>
      <c r="K120" s="20">
        <v>35.9</v>
      </c>
      <c r="L120">
        <f ca="1">TRUNC((TODAY()-tBase[[#This Row],[Data Nascimento]])/365)</f>
        <v>60</v>
      </c>
      <c r="M120" t="str">
        <f ca="1">HLOOKUP(tBase[[#This Row],[Idade]],$O$3:$R$4,2,TRUE)</f>
        <v>54-70</v>
      </c>
    </row>
    <row r="121" spans="2:13">
      <c r="B121" s="19">
        <v>31969357318</v>
      </c>
      <c r="C121" t="s">
        <v>346</v>
      </c>
      <c r="D121" t="s">
        <v>6</v>
      </c>
      <c r="E121" t="s">
        <v>417</v>
      </c>
      <c r="F121" t="s">
        <v>14</v>
      </c>
      <c r="G121" t="s">
        <v>426</v>
      </c>
      <c r="H121" s="1">
        <v>23232</v>
      </c>
      <c r="I121" s="1" t="s">
        <v>436</v>
      </c>
      <c r="J121" t="s">
        <v>453</v>
      </c>
      <c r="K121" s="20">
        <v>29.9</v>
      </c>
      <c r="L121">
        <f ca="1">TRUNC((TODAY()-tBase[[#This Row],[Data Nascimento]])/365)</f>
        <v>62</v>
      </c>
      <c r="M121" t="str">
        <f ca="1">HLOOKUP(tBase[[#This Row],[Idade]],$O$3:$R$4,2,TRUE)</f>
        <v>54-70</v>
      </c>
    </row>
    <row r="122" spans="2:13">
      <c r="B122" s="19">
        <v>31971403474</v>
      </c>
      <c r="C122" t="s">
        <v>107</v>
      </c>
      <c r="D122" t="s">
        <v>6</v>
      </c>
      <c r="E122" t="s">
        <v>7</v>
      </c>
      <c r="F122" t="s">
        <v>13</v>
      </c>
      <c r="G122" t="s">
        <v>425</v>
      </c>
      <c r="H122" s="1">
        <v>32677</v>
      </c>
      <c r="I122" s="1" t="s">
        <v>435</v>
      </c>
      <c r="J122" t="s">
        <v>453</v>
      </c>
      <c r="K122" s="20">
        <v>29.9</v>
      </c>
      <c r="L122">
        <f ca="1">TRUNC((TODAY()-tBase[[#This Row],[Data Nascimento]])/365)</f>
        <v>36</v>
      </c>
      <c r="M122" t="str">
        <f ca="1">HLOOKUP(tBase[[#This Row],[Idade]],$O$3:$R$4,2,TRUE)</f>
        <v>35 - 44</v>
      </c>
    </row>
    <row r="123" spans="2:13">
      <c r="B123" s="19">
        <v>31985811228</v>
      </c>
      <c r="C123" t="s">
        <v>358</v>
      </c>
      <c r="D123" t="s">
        <v>6</v>
      </c>
      <c r="E123" t="s">
        <v>417</v>
      </c>
      <c r="F123" t="s">
        <v>427</v>
      </c>
      <c r="G123" t="s">
        <v>426</v>
      </c>
      <c r="H123" s="1">
        <v>33035</v>
      </c>
      <c r="I123" s="1" t="s">
        <v>433</v>
      </c>
      <c r="J123" t="s">
        <v>453</v>
      </c>
      <c r="K123" s="20">
        <v>29.9</v>
      </c>
      <c r="L123">
        <f ca="1">TRUNC((TODAY()-tBase[[#This Row],[Data Nascimento]])/365)</f>
        <v>35</v>
      </c>
      <c r="M123" t="str">
        <f ca="1">HLOOKUP(tBase[[#This Row],[Idade]],$O$3:$R$4,2,TRUE)</f>
        <v>35 - 44</v>
      </c>
    </row>
    <row r="124" spans="2:13">
      <c r="B124" s="19">
        <v>32043808085</v>
      </c>
      <c r="C124" t="s">
        <v>35</v>
      </c>
      <c r="D124" t="s">
        <v>6</v>
      </c>
      <c r="E124" t="s">
        <v>417</v>
      </c>
      <c r="F124" t="s">
        <v>13</v>
      </c>
      <c r="G124" t="s">
        <v>425</v>
      </c>
      <c r="H124" s="1">
        <v>30767</v>
      </c>
      <c r="I124" s="1" t="s">
        <v>433</v>
      </c>
      <c r="J124" t="s">
        <v>453</v>
      </c>
      <c r="K124" s="20">
        <v>29.9</v>
      </c>
      <c r="L124">
        <f ca="1">TRUNC((TODAY()-tBase[[#This Row],[Data Nascimento]])/365)</f>
        <v>41</v>
      </c>
      <c r="M124" t="str">
        <f ca="1">HLOOKUP(tBase[[#This Row],[Idade]],$O$3:$R$4,2,TRUE)</f>
        <v>35 - 44</v>
      </c>
    </row>
    <row r="125" spans="2:13">
      <c r="B125" s="19">
        <v>32056730472</v>
      </c>
      <c r="C125" t="s">
        <v>62</v>
      </c>
      <c r="D125" t="s">
        <v>5</v>
      </c>
      <c r="E125" t="s">
        <v>8</v>
      </c>
      <c r="F125" t="s">
        <v>13</v>
      </c>
      <c r="G125" t="s">
        <v>424</v>
      </c>
      <c r="H125" s="1">
        <v>24370</v>
      </c>
      <c r="I125" s="1" t="s">
        <v>433</v>
      </c>
      <c r="J125" t="s">
        <v>455</v>
      </c>
      <c r="K125" s="20">
        <v>9.9</v>
      </c>
      <c r="L125">
        <f ca="1">TRUNC((TODAY()-tBase[[#This Row],[Data Nascimento]])/365)</f>
        <v>59</v>
      </c>
      <c r="M125" t="str">
        <f ca="1">HLOOKUP(tBase[[#This Row],[Idade]],$O$3:$R$4,2,TRUE)</f>
        <v>54-70</v>
      </c>
    </row>
    <row r="126" spans="2:13">
      <c r="B126" s="19">
        <v>32076448530</v>
      </c>
      <c r="C126" t="s">
        <v>337</v>
      </c>
      <c r="D126" t="s">
        <v>5</v>
      </c>
      <c r="E126" t="s">
        <v>7</v>
      </c>
      <c r="F126" t="s">
        <v>12</v>
      </c>
      <c r="G126" t="s">
        <v>425</v>
      </c>
      <c r="H126" s="1">
        <v>23736</v>
      </c>
      <c r="I126" s="1" t="s">
        <v>433</v>
      </c>
      <c r="J126" t="s">
        <v>454</v>
      </c>
      <c r="K126" s="20">
        <v>35.9</v>
      </c>
      <c r="L126">
        <f ca="1">TRUNC((TODAY()-tBase[[#This Row],[Data Nascimento]])/365)</f>
        <v>61</v>
      </c>
      <c r="M126" t="str">
        <f ca="1">HLOOKUP(tBase[[#This Row],[Idade]],$O$3:$R$4,2,TRUE)</f>
        <v>54-70</v>
      </c>
    </row>
    <row r="127" spans="2:13">
      <c r="B127" s="19">
        <v>32076861903</v>
      </c>
      <c r="C127" t="s">
        <v>345</v>
      </c>
      <c r="D127" t="s">
        <v>5</v>
      </c>
      <c r="E127" t="s">
        <v>7</v>
      </c>
      <c r="F127" t="s">
        <v>427</v>
      </c>
      <c r="G127" t="s">
        <v>425</v>
      </c>
      <c r="H127" s="1">
        <v>23957</v>
      </c>
      <c r="I127" s="1" t="s">
        <v>433</v>
      </c>
      <c r="J127" t="s">
        <v>455</v>
      </c>
      <c r="K127" s="20">
        <v>9.9</v>
      </c>
      <c r="L127">
        <f ca="1">TRUNC((TODAY()-tBase[[#This Row],[Data Nascimento]])/365)</f>
        <v>60</v>
      </c>
      <c r="M127" t="str">
        <f ca="1">HLOOKUP(tBase[[#This Row],[Idade]],$O$3:$R$4,2,TRUE)</f>
        <v>54-70</v>
      </c>
    </row>
    <row r="128" spans="2:13">
      <c r="B128" s="19">
        <v>32080730358</v>
      </c>
      <c r="C128" t="s">
        <v>375</v>
      </c>
      <c r="D128" t="s">
        <v>6</v>
      </c>
      <c r="E128" t="s">
        <v>417</v>
      </c>
      <c r="F128" t="s">
        <v>9</v>
      </c>
      <c r="G128" t="s">
        <v>425</v>
      </c>
      <c r="H128" s="1">
        <v>31794</v>
      </c>
      <c r="I128" s="1" t="s">
        <v>430</v>
      </c>
      <c r="J128" t="s">
        <v>453</v>
      </c>
      <c r="K128" s="20">
        <v>29.9</v>
      </c>
      <c r="L128">
        <f ca="1">TRUNC((TODAY()-tBase[[#This Row],[Data Nascimento]])/365)</f>
        <v>39</v>
      </c>
      <c r="M128" t="str">
        <f ca="1">HLOOKUP(tBase[[#This Row],[Idade]],$O$3:$R$4,2,TRUE)</f>
        <v>35 - 44</v>
      </c>
    </row>
    <row r="129" spans="2:13">
      <c r="B129" s="19">
        <v>32359135449</v>
      </c>
      <c r="C129" t="s">
        <v>302</v>
      </c>
      <c r="D129" t="s">
        <v>6</v>
      </c>
      <c r="E129" t="s">
        <v>8</v>
      </c>
      <c r="F129" t="s">
        <v>13</v>
      </c>
      <c r="G129" t="s">
        <v>424</v>
      </c>
      <c r="H129" s="1">
        <v>22445</v>
      </c>
      <c r="I129" s="1" t="s">
        <v>429</v>
      </c>
      <c r="J129" t="s">
        <v>455</v>
      </c>
      <c r="K129" s="20">
        <v>9.9</v>
      </c>
      <c r="L129">
        <f ca="1">TRUNC((TODAY()-tBase[[#This Row],[Data Nascimento]])/365)</f>
        <v>64</v>
      </c>
      <c r="M129" t="str">
        <f ca="1">HLOOKUP(tBase[[#This Row],[Idade]],$O$3:$R$4,2,TRUE)</f>
        <v>54-70</v>
      </c>
    </row>
    <row r="130" spans="2:13">
      <c r="B130" s="19">
        <v>32373994641</v>
      </c>
      <c r="C130" t="s">
        <v>143</v>
      </c>
      <c r="D130" t="s">
        <v>6</v>
      </c>
      <c r="E130" t="s">
        <v>7</v>
      </c>
      <c r="F130" t="s">
        <v>427</v>
      </c>
      <c r="G130" t="s">
        <v>424</v>
      </c>
      <c r="H130" s="1">
        <v>20716</v>
      </c>
      <c r="I130" s="1" t="s">
        <v>431</v>
      </c>
      <c r="J130" t="s">
        <v>453</v>
      </c>
      <c r="K130" s="20">
        <v>29.9</v>
      </c>
      <c r="L130">
        <f ca="1">TRUNC((TODAY()-tBase[[#This Row],[Data Nascimento]])/365)</f>
        <v>69</v>
      </c>
      <c r="M130" t="str">
        <f ca="1">HLOOKUP(tBase[[#This Row],[Idade]],$O$3:$R$4,2,TRUE)</f>
        <v>54-70</v>
      </c>
    </row>
    <row r="131" spans="2:13">
      <c r="B131" s="19">
        <v>32485376814</v>
      </c>
      <c r="C131" t="s">
        <v>320</v>
      </c>
      <c r="D131" t="s">
        <v>6</v>
      </c>
      <c r="E131" t="s">
        <v>7</v>
      </c>
      <c r="F131" t="s">
        <v>13</v>
      </c>
      <c r="G131" t="s">
        <v>426</v>
      </c>
      <c r="H131" s="1">
        <v>24536</v>
      </c>
      <c r="I131" s="1" t="s">
        <v>432</v>
      </c>
      <c r="J131" t="s">
        <v>453</v>
      </c>
      <c r="K131" s="20">
        <v>29.9</v>
      </c>
      <c r="L131">
        <f ca="1">TRUNC((TODAY()-tBase[[#This Row],[Data Nascimento]])/365)</f>
        <v>58</v>
      </c>
      <c r="M131" t="str">
        <f ca="1">HLOOKUP(tBase[[#This Row],[Idade]],$O$3:$R$4,2,TRUE)</f>
        <v>54-70</v>
      </c>
    </row>
    <row r="132" spans="2:13">
      <c r="B132" s="19">
        <v>32558610072</v>
      </c>
      <c r="C132" t="s">
        <v>16</v>
      </c>
      <c r="D132" t="s">
        <v>6</v>
      </c>
      <c r="E132" t="s">
        <v>416</v>
      </c>
      <c r="F132" t="s">
        <v>14</v>
      </c>
      <c r="G132" t="s">
        <v>426</v>
      </c>
      <c r="H132" s="1">
        <v>29671</v>
      </c>
      <c r="I132" s="1" t="s">
        <v>434</v>
      </c>
      <c r="J132" t="s">
        <v>453</v>
      </c>
      <c r="K132" s="20">
        <v>29.9</v>
      </c>
      <c r="L132">
        <f ca="1">TRUNC((TODAY()-tBase[[#This Row],[Data Nascimento]])/365)</f>
        <v>44</v>
      </c>
      <c r="M132" t="str">
        <f ca="1">HLOOKUP(tBase[[#This Row],[Idade]],$O$3:$R$4,2,TRUE)</f>
        <v>44 - 54</v>
      </c>
    </row>
    <row r="133" spans="2:13">
      <c r="B133" s="19">
        <v>32861405102</v>
      </c>
      <c r="C133" t="s">
        <v>209</v>
      </c>
      <c r="D133" t="s">
        <v>6</v>
      </c>
      <c r="E133" t="s">
        <v>8</v>
      </c>
      <c r="F133" t="s">
        <v>427</v>
      </c>
      <c r="G133" t="s">
        <v>424</v>
      </c>
      <c r="H133" s="1">
        <v>24308</v>
      </c>
      <c r="I133" s="1" t="s">
        <v>430</v>
      </c>
      <c r="J133" t="s">
        <v>454</v>
      </c>
      <c r="K133" s="20">
        <v>35.9</v>
      </c>
      <c r="L133">
        <f ca="1">TRUNC((TODAY()-tBase[[#This Row],[Data Nascimento]])/365)</f>
        <v>59</v>
      </c>
      <c r="M133" t="str">
        <f ca="1">HLOOKUP(tBase[[#This Row],[Idade]],$O$3:$R$4,2,TRUE)</f>
        <v>54-70</v>
      </c>
    </row>
    <row r="134" spans="2:13">
      <c r="B134" s="19">
        <v>32910016971</v>
      </c>
      <c r="C134" t="s">
        <v>257</v>
      </c>
      <c r="D134" t="s">
        <v>5</v>
      </c>
      <c r="E134" t="s">
        <v>7</v>
      </c>
      <c r="F134" t="s">
        <v>427</v>
      </c>
      <c r="G134" t="s">
        <v>425</v>
      </c>
      <c r="H134" s="1">
        <v>28587</v>
      </c>
      <c r="I134" s="1" t="s">
        <v>435</v>
      </c>
      <c r="J134" t="s">
        <v>454</v>
      </c>
      <c r="K134" s="20">
        <v>35.9</v>
      </c>
      <c r="L134">
        <f ca="1">TRUNC((TODAY()-tBase[[#This Row],[Data Nascimento]])/365)</f>
        <v>47</v>
      </c>
      <c r="M134" t="str">
        <f ca="1">HLOOKUP(tBase[[#This Row],[Idade]],$O$3:$R$4,2,TRUE)</f>
        <v>44 - 54</v>
      </c>
    </row>
    <row r="135" spans="2:13">
      <c r="B135" s="19">
        <v>32944488783</v>
      </c>
      <c r="C135" t="s">
        <v>119</v>
      </c>
      <c r="D135" t="s">
        <v>6</v>
      </c>
      <c r="E135" t="s">
        <v>8</v>
      </c>
      <c r="F135" t="s">
        <v>427</v>
      </c>
      <c r="G135" t="s">
        <v>425</v>
      </c>
      <c r="H135" s="1">
        <v>26442</v>
      </c>
      <c r="I135" s="1" t="s">
        <v>436</v>
      </c>
      <c r="J135" t="s">
        <v>453</v>
      </c>
      <c r="K135" s="20">
        <v>29.9</v>
      </c>
      <c r="L135">
        <f ca="1">TRUNC((TODAY()-tBase[[#This Row],[Data Nascimento]])/365)</f>
        <v>53</v>
      </c>
      <c r="M135" t="str">
        <f ca="1">HLOOKUP(tBase[[#This Row],[Idade]],$O$3:$R$4,2,TRUE)</f>
        <v>44 - 54</v>
      </c>
    </row>
    <row r="136" spans="2:13">
      <c r="B136" s="19">
        <v>33045087456</v>
      </c>
      <c r="C136" t="s">
        <v>344</v>
      </c>
      <c r="D136" t="s">
        <v>6</v>
      </c>
      <c r="E136" t="s">
        <v>417</v>
      </c>
      <c r="F136" t="s">
        <v>13</v>
      </c>
      <c r="G136" t="s">
        <v>425</v>
      </c>
      <c r="H136" s="1">
        <v>29216</v>
      </c>
      <c r="I136" s="1" t="s">
        <v>430</v>
      </c>
      <c r="J136" t="s">
        <v>453</v>
      </c>
      <c r="K136" s="20">
        <v>29.9</v>
      </c>
      <c r="L136">
        <f ca="1">TRUNC((TODAY()-tBase[[#This Row],[Data Nascimento]])/365)</f>
        <v>46</v>
      </c>
      <c r="M136" t="str">
        <f ca="1">HLOOKUP(tBase[[#This Row],[Idade]],$O$3:$R$4,2,TRUE)</f>
        <v>44 - 54</v>
      </c>
    </row>
    <row r="137" spans="2:13">
      <c r="B137" s="19">
        <v>33083932561</v>
      </c>
      <c r="C137" t="s">
        <v>322</v>
      </c>
      <c r="D137" t="s">
        <v>6</v>
      </c>
      <c r="E137" t="s">
        <v>8</v>
      </c>
      <c r="F137" t="s">
        <v>14</v>
      </c>
      <c r="G137" t="s">
        <v>424</v>
      </c>
      <c r="H137" s="1">
        <v>20130</v>
      </c>
      <c r="I137" s="1" t="s">
        <v>435</v>
      </c>
      <c r="J137" t="s">
        <v>453</v>
      </c>
      <c r="K137" s="20">
        <v>29.9</v>
      </c>
      <c r="L137">
        <f ca="1">TRUNC((TODAY()-tBase[[#This Row],[Data Nascimento]])/365)</f>
        <v>71</v>
      </c>
      <c r="M137" t="str">
        <f ca="1">HLOOKUP(tBase[[#This Row],[Idade]],$O$3:$R$4,2,TRUE)</f>
        <v>54-70</v>
      </c>
    </row>
    <row r="138" spans="2:13">
      <c r="B138" s="19">
        <v>33120179107</v>
      </c>
      <c r="C138" t="s">
        <v>172</v>
      </c>
      <c r="D138" t="s">
        <v>6</v>
      </c>
      <c r="E138" t="s">
        <v>8</v>
      </c>
      <c r="F138" t="s">
        <v>14</v>
      </c>
      <c r="G138" t="s">
        <v>425</v>
      </c>
      <c r="H138" s="1">
        <v>32048</v>
      </c>
      <c r="I138" s="1" t="s">
        <v>436</v>
      </c>
      <c r="J138" t="s">
        <v>453</v>
      </c>
      <c r="K138" s="20">
        <v>29.9</v>
      </c>
      <c r="L138">
        <f ca="1">TRUNC((TODAY()-tBase[[#This Row],[Data Nascimento]])/365)</f>
        <v>38</v>
      </c>
      <c r="M138" t="str">
        <f ca="1">HLOOKUP(tBase[[#This Row],[Idade]],$O$3:$R$4,2,TRUE)</f>
        <v>35 - 44</v>
      </c>
    </row>
    <row r="139" spans="2:13">
      <c r="B139" s="19">
        <v>33221309333</v>
      </c>
      <c r="C139" t="s">
        <v>403</v>
      </c>
      <c r="D139" t="s">
        <v>6</v>
      </c>
      <c r="E139" t="s">
        <v>7</v>
      </c>
      <c r="F139" t="s">
        <v>12</v>
      </c>
      <c r="G139" t="s">
        <v>424</v>
      </c>
      <c r="H139" s="1">
        <v>22002</v>
      </c>
      <c r="I139" s="1" t="s">
        <v>433</v>
      </c>
      <c r="J139" t="s">
        <v>455</v>
      </c>
      <c r="K139" s="20">
        <v>9.9</v>
      </c>
      <c r="L139">
        <f ca="1">TRUNC((TODAY()-tBase[[#This Row],[Data Nascimento]])/365)</f>
        <v>65</v>
      </c>
      <c r="M139" t="str">
        <f ca="1">HLOOKUP(tBase[[#This Row],[Idade]],$O$3:$R$4,2,TRUE)</f>
        <v>54-70</v>
      </c>
    </row>
    <row r="140" spans="2:13">
      <c r="B140" s="19">
        <v>33247836129</v>
      </c>
      <c r="C140" t="s">
        <v>177</v>
      </c>
      <c r="D140" t="s">
        <v>5</v>
      </c>
      <c r="E140" t="s">
        <v>7</v>
      </c>
      <c r="F140" t="s">
        <v>427</v>
      </c>
      <c r="G140" t="s">
        <v>425</v>
      </c>
      <c r="H140" s="1">
        <v>34988</v>
      </c>
      <c r="I140" s="1" t="s">
        <v>433</v>
      </c>
      <c r="J140" t="s">
        <v>455</v>
      </c>
      <c r="K140" s="20">
        <v>9.9</v>
      </c>
      <c r="L140">
        <f ca="1">TRUNC((TODAY()-tBase[[#This Row],[Data Nascimento]])/365)</f>
        <v>30</v>
      </c>
      <c r="M140" t="str">
        <f ca="1">HLOOKUP(tBase[[#This Row],[Idade]],$O$3:$R$4,2,TRUE)</f>
        <v>24-34</v>
      </c>
    </row>
    <row r="141" spans="2:13">
      <c r="B141" s="19">
        <v>33329077647</v>
      </c>
      <c r="C141" t="s">
        <v>262</v>
      </c>
      <c r="D141" t="s">
        <v>6</v>
      </c>
      <c r="E141" t="s">
        <v>8</v>
      </c>
      <c r="F141" t="s">
        <v>427</v>
      </c>
      <c r="G141" t="s">
        <v>424</v>
      </c>
      <c r="H141" s="1">
        <v>22149</v>
      </c>
      <c r="I141" s="1" t="s">
        <v>433</v>
      </c>
      <c r="J141" t="s">
        <v>453</v>
      </c>
      <c r="K141" s="20">
        <v>29.9</v>
      </c>
      <c r="L141">
        <f ca="1">TRUNC((TODAY()-tBase[[#This Row],[Data Nascimento]])/365)</f>
        <v>65</v>
      </c>
      <c r="M141" t="str">
        <f ca="1">HLOOKUP(tBase[[#This Row],[Idade]],$O$3:$R$4,2,TRUE)</f>
        <v>54-70</v>
      </c>
    </row>
    <row r="142" spans="2:13">
      <c r="B142" s="19">
        <v>33353271839</v>
      </c>
      <c r="C142" t="s">
        <v>365</v>
      </c>
      <c r="D142" t="s">
        <v>6</v>
      </c>
      <c r="E142" t="s">
        <v>7</v>
      </c>
      <c r="F142" t="s">
        <v>427</v>
      </c>
      <c r="G142" t="s">
        <v>425</v>
      </c>
      <c r="H142" s="1">
        <v>20397</v>
      </c>
      <c r="I142" s="1" t="s">
        <v>433</v>
      </c>
      <c r="J142" t="s">
        <v>454</v>
      </c>
      <c r="K142" s="20">
        <v>35.9</v>
      </c>
      <c r="L142">
        <f ca="1">TRUNC((TODAY()-tBase[[#This Row],[Data Nascimento]])/365)</f>
        <v>70</v>
      </c>
      <c r="M142" t="str">
        <f ca="1">HLOOKUP(tBase[[#This Row],[Idade]],$O$3:$R$4,2,TRUE)</f>
        <v>54-70</v>
      </c>
    </row>
    <row r="143" spans="2:13">
      <c r="B143" s="19">
        <v>33391594252</v>
      </c>
      <c r="C143" t="s">
        <v>126</v>
      </c>
      <c r="D143" t="s">
        <v>6</v>
      </c>
      <c r="E143" t="s">
        <v>417</v>
      </c>
      <c r="F143" t="s">
        <v>11</v>
      </c>
      <c r="G143" t="s">
        <v>426</v>
      </c>
      <c r="H143" s="1">
        <v>28577</v>
      </c>
      <c r="I143" s="1" t="s">
        <v>433</v>
      </c>
      <c r="J143" t="s">
        <v>456</v>
      </c>
      <c r="K143" s="20">
        <v>79.900000000000006</v>
      </c>
      <c r="L143">
        <f ca="1">TRUNC((TODAY()-tBase[[#This Row],[Data Nascimento]])/365)</f>
        <v>47</v>
      </c>
      <c r="M143" t="str">
        <f ca="1">HLOOKUP(tBase[[#This Row],[Idade]],$O$3:$R$4,2,TRUE)</f>
        <v>44 - 54</v>
      </c>
    </row>
    <row r="144" spans="2:13">
      <c r="B144" s="19">
        <v>33482040032</v>
      </c>
      <c r="C144" t="s">
        <v>219</v>
      </c>
      <c r="D144" t="s">
        <v>5</v>
      </c>
      <c r="E144" t="s">
        <v>8</v>
      </c>
      <c r="F144" t="s">
        <v>9</v>
      </c>
      <c r="G144" t="s">
        <v>426</v>
      </c>
      <c r="H144" s="1">
        <v>32587</v>
      </c>
      <c r="I144" s="1" t="s">
        <v>433</v>
      </c>
      <c r="J144" t="s">
        <v>455</v>
      </c>
      <c r="K144" s="20">
        <v>9.9</v>
      </c>
      <c r="L144">
        <f ca="1">TRUNC((TODAY()-tBase[[#This Row],[Data Nascimento]])/365)</f>
        <v>36</v>
      </c>
      <c r="M144" t="str">
        <f ca="1">HLOOKUP(tBase[[#This Row],[Idade]],$O$3:$R$4,2,TRUE)</f>
        <v>35 - 44</v>
      </c>
    </row>
    <row r="145" spans="2:13">
      <c r="B145" s="19">
        <v>33490248117</v>
      </c>
      <c r="C145" t="s">
        <v>117</v>
      </c>
      <c r="D145" t="s">
        <v>5</v>
      </c>
      <c r="E145" t="s">
        <v>7</v>
      </c>
      <c r="F145" t="s">
        <v>427</v>
      </c>
      <c r="G145" t="s">
        <v>425</v>
      </c>
      <c r="H145" s="1">
        <v>32883</v>
      </c>
      <c r="I145" s="1" t="s">
        <v>433</v>
      </c>
      <c r="J145" t="s">
        <v>455</v>
      </c>
      <c r="K145" s="20">
        <v>9.9</v>
      </c>
      <c r="L145">
        <f ca="1">TRUNC((TODAY()-tBase[[#This Row],[Data Nascimento]])/365)</f>
        <v>36</v>
      </c>
      <c r="M145" t="str">
        <f ca="1">HLOOKUP(tBase[[#This Row],[Idade]],$O$3:$R$4,2,TRUE)</f>
        <v>35 - 44</v>
      </c>
    </row>
    <row r="146" spans="2:13">
      <c r="B146" s="19">
        <v>33585062982</v>
      </c>
      <c r="C146" t="s">
        <v>409</v>
      </c>
      <c r="D146" t="s">
        <v>6</v>
      </c>
      <c r="E146" t="s">
        <v>8</v>
      </c>
      <c r="F146" t="s">
        <v>12</v>
      </c>
      <c r="G146" t="s">
        <v>424</v>
      </c>
      <c r="H146" s="1">
        <v>21978</v>
      </c>
      <c r="I146" s="1" t="s">
        <v>433</v>
      </c>
      <c r="J146" t="s">
        <v>454</v>
      </c>
      <c r="K146" s="20">
        <v>35.9</v>
      </c>
      <c r="L146">
        <f ca="1">TRUNC((TODAY()-tBase[[#This Row],[Data Nascimento]])/365)</f>
        <v>65</v>
      </c>
      <c r="M146" t="str">
        <f ca="1">HLOOKUP(tBase[[#This Row],[Idade]],$O$3:$R$4,2,TRUE)</f>
        <v>54-70</v>
      </c>
    </row>
    <row r="147" spans="2:13">
      <c r="B147" s="19">
        <v>33614763115</v>
      </c>
      <c r="C147" t="s">
        <v>178</v>
      </c>
      <c r="D147" t="s">
        <v>5</v>
      </c>
      <c r="E147" t="s">
        <v>417</v>
      </c>
      <c r="F147" t="s">
        <v>14</v>
      </c>
      <c r="G147" t="s">
        <v>426</v>
      </c>
      <c r="H147" s="1">
        <v>33973</v>
      </c>
      <c r="I147" s="1" t="s">
        <v>433</v>
      </c>
      <c r="J147" t="s">
        <v>453</v>
      </c>
      <c r="K147" s="20">
        <v>29.9</v>
      </c>
      <c r="L147">
        <f ca="1">TRUNC((TODAY()-tBase[[#This Row],[Data Nascimento]])/365)</f>
        <v>33</v>
      </c>
      <c r="M147" t="str">
        <f ca="1">HLOOKUP(tBase[[#This Row],[Idade]],$O$3:$R$4,2,TRUE)</f>
        <v>24-34</v>
      </c>
    </row>
    <row r="148" spans="2:13">
      <c r="B148" s="19">
        <v>33625332262</v>
      </c>
      <c r="C148" t="s">
        <v>53</v>
      </c>
      <c r="D148" t="s">
        <v>6</v>
      </c>
      <c r="E148" t="s">
        <v>7</v>
      </c>
      <c r="F148" t="s">
        <v>427</v>
      </c>
      <c r="G148" t="s">
        <v>425</v>
      </c>
      <c r="H148" s="1">
        <v>25523</v>
      </c>
      <c r="I148" s="1" t="s">
        <v>429</v>
      </c>
      <c r="J148" t="s">
        <v>454</v>
      </c>
      <c r="K148" s="20">
        <v>35.9</v>
      </c>
      <c r="L148">
        <f ca="1">TRUNC((TODAY()-tBase[[#This Row],[Data Nascimento]])/365)</f>
        <v>56</v>
      </c>
      <c r="M148" t="str">
        <f ca="1">HLOOKUP(tBase[[#This Row],[Idade]],$O$3:$R$4,2,TRUE)</f>
        <v>54-70</v>
      </c>
    </row>
    <row r="149" spans="2:13">
      <c r="B149" s="19">
        <v>33812311392</v>
      </c>
      <c r="C149" t="s">
        <v>414</v>
      </c>
      <c r="D149" t="s">
        <v>5</v>
      </c>
      <c r="E149" t="s">
        <v>417</v>
      </c>
      <c r="F149" t="s">
        <v>11</v>
      </c>
      <c r="G149" t="s">
        <v>425</v>
      </c>
      <c r="H149" s="1">
        <v>28641</v>
      </c>
      <c r="I149" s="1" t="s">
        <v>432</v>
      </c>
      <c r="J149" t="s">
        <v>456</v>
      </c>
      <c r="K149" s="20">
        <v>79.900000000000006</v>
      </c>
      <c r="L149">
        <f ca="1">TRUNC((TODAY()-tBase[[#This Row],[Data Nascimento]])/365)</f>
        <v>47</v>
      </c>
      <c r="M149" t="str">
        <f ca="1">HLOOKUP(tBase[[#This Row],[Idade]],$O$3:$R$4,2,TRUE)</f>
        <v>44 - 54</v>
      </c>
    </row>
    <row r="150" spans="2:13">
      <c r="B150" s="19">
        <v>33839338471</v>
      </c>
      <c r="C150" t="s">
        <v>94</v>
      </c>
      <c r="D150" t="s">
        <v>6</v>
      </c>
      <c r="E150" t="s">
        <v>417</v>
      </c>
      <c r="F150" t="s">
        <v>427</v>
      </c>
      <c r="G150" t="s">
        <v>425</v>
      </c>
      <c r="H150" s="1">
        <v>34877</v>
      </c>
      <c r="I150" s="1" t="s">
        <v>436</v>
      </c>
      <c r="J150" t="s">
        <v>453</v>
      </c>
      <c r="K150" s="20">
        <v>29.9</v>
      </c>
      <c r="L150">
        <f ca="1">TRUNC((TODAY()-tBase[[#This Row],[Data Nascimento]])/365)</f>
        <v>30</v>
      </c>
      <c r="M150" t="str">
        <f ca="1">HLOOKUP(tBase[[#This Row],[Idade]],$O$3:$R$4,2,TRUE)</f>
        <v>24-34</v>
      </c>
    </row>
    <row r="151" spans="2:13">
      <c r="B151" s="19">
        <v>33875188130</v>
      </c>
      <c r="C151" t="s">
        <v>48</v>
      </c>
      <c r="D151" t="s">
        <v>5</v>
      </c>
      <c r="E151" t="s">
        <v>416</v>
      </c>
      <c r="F151" t="s">
        <v>13</v>
      </c>
      <c r="G151" t="s">
        <v>425</v>
      </c>
      <c r="H151" s="1">
        <v>27845</v>
      </c>
      <c r="I151" s="1" t="s">
        <v>436</v>
      </c>
      <c r="J151" t="s">
        <v>454</v>
      </c>
      <c r="K151" s="20">
        <v>35.9</v>
      </c>
      <c r="L151">
        <f ca="1">TRUNC((TODAY()-tBase[[#This Row],[Data Nascimento]])/365)</f>
        <v>49</v>
      </c>
      <c r="M151" t="str">
        <f ca="1">HLOOKUP(tBase[[#This Row],[Idade]],$O$3:$R$4,2,TRUE)</f>
        <v>44 - 54</v>
      </c>
    </row>
    <row r="152" spans="2:13">
      <c r="B152" s="19">
        <v>33898601118</v>
      </c>
      <c r="C152" t="s">
        <v>400</v>
      </c>
      <c r="D152" t="s">
        <v>6</v>
      </c>
      <c r="E152" t="s">
        <v>7</v>
      </c>
      <c r="F152" t="s">
        <v>14</v>
      </c>
      <c r="G152" t="s">
        <v>426</v>
      </c>
      <c r="H152" s="1">
        <v>28003</v>
      </c>
      <c r="I152" s="1" t="s">
        <v>436</v>
      </c>
      <c r="J152" t="s">
        <v>453</v>
      </c>
      <c r="K152" s="20">
        <v>29.9</v>
      </c>
      <c r="L152">
        <f ca="1">TRUNC((TODAY()-tBase[[#This Row],[Data Nascimento]])/365)</f>
        <v>49</v>
      </c>
      <c r="M152" t="str">
        <f ca="1">HLOOKUP(tBase[[#This Row],[Idade]],$O$3:$R$4,2,TRUE)</f>
        <v>44 - 54</v>
      </c>
    </row>
    <row r="153" spans="2:13">
      <c r="B153" s="19">
        <v>33959101715</v>
      </c>
      <c r="C153" t="s">
        <v>51</v>
      </c>
      <c r="D153" t="s">
        <v>6</v>
      </c>
      <c r="E153" t="s">
        <v>416</v>
      </c>
      <c r="F153" t="s">
        <v>9</v>
      </c>
      <c r="G153" t="s">
        <v>424</v>
      </c>
      <c r="H153" s="1">
        <v>21976</v>
      </c>
      <c r="I153" s="1" t="s">
        <v>436</v>
      </c>
      <c r="J153" t="s">
        <v>455</v>
      </c>
      <c r="K153" s="20">
        <v>9.9</v>
      </c>
      <c r="L153">
        <f ca="1">TRUNC((TODAY()-tBase[[#This Row],[Data Nascimento]])/365)</f>
        <v>65</v>
      </c>
      <c r="M153" t="str">
        <f ca="1">HLOOKUP(tBase[[#This Row],[Idade]],$O$3:$R$4,2,TRUE)</f>
        <v>54-70</v>
      </c>
    </row>
    <row r="154" spans="2:13">
      <c r="B154" s="19">
        <v>33969903983</v>
      </c>
      <c r="C154" t="s">
        <v>333</v>
      </c>
      <c r="D154" t="s">
        <v>5</v>
      </c>
      <c r="E154" t="s">
        <v>7</v>
      </c>
      <c r="F154" t="s">
        <v>427</v>
      </c>
      <c r="G154" t="s">
        <v>424</v>
      </c>
      <c r="H154" s="1">
        <v>31798</v>
      </c>
      <c r="I154" s="1" t="s">
        <v>436</v>
      </c>
      <c r="J154" t="s">
        <v>455</v>
      </c>
      <c r="K154" s="20">
        <v>9.9</v>
      </c>
      <c r="L154">
        <f ca="1">TRUNC((TODAY()-tBase[[#This Row],[Data Nascimento]])/365)</f>
        <v>39</v>
      </c>
      <c r="M154" t="str">
        <f ca="1">HLOOKUP(tBase[[#This Row],[Idade]],$O$3:$R$4,2,TRUE)</f>
        <v>35 - 44</v>
      </c>
    </row>
    <row r="155" spans="2:13">
      <c r="B155" s="19">
        <v>34020079542</v>
      </c>
      <c r="C155" t="s">
        <v>357</v>
      </c>
      <c r="D155" t="s">
        <v>5</v>
      </c>
      <c r="E155" t="s">
        <v>7</v>
      </c>
      <c r="F155" t="s">
        <v>427</v>
      </c>
      <c r="G155" t="s">
        <v>425</v>
      </c>
      <c r="H155" s="1">
        <v>23326</v>
      </c>
      <c r="I155" s="1" t="s">
        <v>436</v>
      </c>
      <c r="J155" t="s">
        <v>455</v>
      </c>
      <c r="K155" s="20">
        <v>9.9</v>
      </c>
      <c r="L155">
        <f ca="1">TRUNC((TODAY()-tBase[[#This Row],[Data Nascimento]])/365)</f>
        <v>62</v>
      </c>
      <c r="M155" t="str">
        <f ca="1">HLOOKUP(tBase[[#This Row],[Idade]],$O$3:$R$4,2,TRUE)</f>
        <v>54-70</v>
      </c>
    </row>
    <row r="156" spans="2:13">
      <c r="B156" s="19">
        <v>34161309302</v>
      </c>
      <c r="C156" t="s">
        <v>137</v>
      </c>
      <c r="D156" t="s">
        <v>6</v>
      </c>
      <c r="E156" t="s">
        <v>7</v>
      </c>
      <c r="F156" t="s">
        <v>427</v>
      </c>
      <c r="G156" t="s">
        <v>425</v>
      </c>
      <c r="H156" s="1">
        <v>34830</v>
      </c>
      <c r="I156" s="1" t="s">
        <v>435</v>
      </c>
      <c r="J156" t="s">
        <v>454</v>
      </c>
      <c r="K156" s="20">
        <v>35.9</v>
      </c>
      <c r="L156">
        <f ca="1">TRUNC((TODAY()-tBase[[#This Row],[Data Nascimento]])/365)</f>
        <v>30</v>
      </c>
      <c r="M156" t="str">
        <f ca="1">HLOOKUP(tBase[[#This Row],[Idade]],$O$3:$R$4,2,TRUE)</f>
        <v>24-34</v>
      </c>
    </row>
    <row r="157" spans="2:13">
      <c r="B157" s="19">
        <v>34264176742</v>
      </c>
      <c r="C157" t="s">
        <v>211</v>
      </c>
      <c r="D157" t="s">
        <v>6</v>
      </c>
      <c r="E157" t="s">
        <v>416</v>
      </c>
      <c r="F157" t="s">
        <v>12</v>
      </c>
      <c r="G157" t="s">
        <v>424</v>
      </c>
      <c r="H157" s="1">
        <v>28037</v>
      </c>
      <c r="I157" s="1" t="s">
        <v>433</v>
      </c>
      <c r="J157" t="s">
        <v>455</v>
      </c>
      <c r="K157" s="20">
        <v>9.9</v>
      </c>
      <c r="L157">
        <f ca="1">TRUNC((TODAY()-tBase[[#This Row],[Data Nascimento]])/365)</f>
        <v>49</v>
      </c>
      <c r="M157" t="str">
        <f ca="1">HLOOKUP(tBase[[#This Row],[Idade]],$O$3:$R$4,2,TRUE)</f>
        <v>44 - 54</v>
      </c>
    </row>
    <row r="158" spans="2:13">
      <c r="B158" s="19">
        <v>34270622570</v>
      </c>
      <c r="C158" t="s">
        <v>273</v>
      </c>
      <c r="D158" t="s">
        <v>5</v>
      </c>
      <c r="E158" t="s">
        <v>7</v>
      </c>
      <c r="F158" t="s">
        <v>427</v>
      </c>
      <c r="G158" t="s">
        <v>424</v>
      </c>
      <c r="H158" s="1">
        <v>23003</v>
      </c>
      <c r="I158" s="1" t="s">
        <v>433</v>
      </c>
      <c r="J158" t="s">
        <v>455</v>
      </c>
      <c r="K158" s="20">
        <v>9.9</v>
      </c>
      <c r="L158">
        <f ca="1">TRUNC((TODAY()-tBase[[#This Row],[Data Nascimento]])/365)</f>
        <v>63</v>
      </c>
      <c r="M158" t="str">
        <f ca="1">HLOOKUP(tBase[[#This Row],[Idade]],$O$3:$R$4,2,TRUE)</f>
        <v>54-70</v>
      </c>
    </row>
    <row r="159" spans="2:13">
      <c r="B159" s="19">
        <v>34275755986</v>
      </c>
      <c r="C159" t="s">
        <v>341</v>
      </c>
      <c r="D159" t="s">
        <v>5</v>
      </c>
      <c r="E159" t="s">
        <v>417</v>
      </c>
      <c r="F159" t="s">
        <v>427</v>
      </c>
      <c r="G159" t="s">
        <v>425</v>
      </c>
      <c r="H159" s="1">
        <v>28273</v>
      </c>
      <c r="I159" s="1" t="s">
        <v>433</v>
      </c>
      <c r="J159" t="s">
        <v>454</v>
      </c>
      <c r="K159" s="20">
        <v>35.9</v>
      </c>
      <c r="L159">
        <f ca="1">TRUNC((TODAY()-tBase[[#This Row],[Data Nascimento]])/365)</f>
        <v>48</v>
      </c>
      <c r="M159" t="str">
        <f ca="1">HLOOKUP(tBase[[#This Row],[Idade]],$O$3:$R$4,2,TRUE)</f>
        <v>44 - 54</v>
      </c>
    </row>
    <row r="160" spans="2:13">
      <c r="B160" s="19">
        <v>34289791783</v>
      </c>
      <c r="C160" t="s">
        <v>389</v>
      </c>
      <c r="D160" t="s">
        <v>6</v>
      </c>
      <c r="E160" t="s">
        <v>8</v>
      </c>
      <c r="F160" t="s">
        <v>427</v>
      </c>
      <c r="G160" t="s">
        <v>426</v>
      </c>
      <c r="H160" s="1">
        <v>25886</v>
      </c>
      <c r="I160" s="1" t="s">
        <v>433</v>
      </c>
      <c r="J160" t="s">
        <v>454</v>
      </c>
      <c r="K160" s="20">
        <v>35.9</v>
      </c>
      <c r="L160">
        <f ca="1">TRUNC((TODAY()-tBase[[#This Row],[Data Nascimento]])/365)</f>
        <v>55</v>
      </c>
      <c r="M160" t="str">
        <f ca="1">HLOOKUP(tBase[[#This Row],[Idade]],$O$3:$R$4,2,TRUE)</f>
        <v>54-70</v>
      </c>
    </row>
    <row r="161" spans="2:13">
      <c r="B161" s="19">
        <v>34323519769</v>
      </c>
      <c r="C161" t="s">
        <v>252</v>
      </c>
      <c r="D161" t="s">
        <v>6</v>
      </c>
      <c r="E161" t="s">
        <v>8</v>
      </c>
      <c r="F161" t="s">
        <v>13</v>
      </c>
      <c r="G161" t="s">
        <v>425</v>
      </c>
      <c r="H161" s="1">
        <v>22110</v>
      </c>
      <c r="I161" s="1" t="s">
        <v>433</v>
      </c>
      <c r="J161" t="s">
        <v>455</v>
      </c>
      <c r="K161" s="20">
        <v>9.9</v>
      </c>
      <c r="L161">
        <f ca="1">TRUNC((TODAY()-tBase[[#This Row],[Data Nascimento]])/365)</f>
        <v>65</v>
      </c>
      <c r="M161" t="str">
        <f ca="1">HLOOKUP(tBase[[#This Row],[Idade]],$O$3:$R$4,2,TRUE)</f>
        <v>54-70</v>
      </c>
    </row>
    <row r="162" spans="2:13">
      <c r="B162" s="19">
        <v>34327422259</v>
      </c>
      <c r="C162" t="s">
        <v>355</v>
      </c>
      <c r="D162" t="s">
        <v>5</v>
      </c>
      <c r="E162" t="s">
        <v>417</v>
      </c>
      <c r="F162" t="s">
        <v>12</v>
      </c>
      <c r="G162" t="s">
        <v>425</v>
      </c>
      <c r="H162" s="1">
        <v>30247</v>
      </c>
      <c r="I162" s="1" t="s">
        <v>430</v>
      </c>
      <c r="J162" t="s">
        <v>455</v>
      </c>
      <c r="K162" s="20">
        <v>9.9</v>
      </c>
      <c r="L162">
        <f ca="1">TRUNC((TODAY()-tBase[[#This Row],[Data Nascimento]])/365)</f>
        <v>43</v>
      </c>
      <c r="M162" t="str">
        <f ca="1">HLOOKUP(tBase[[#This Row],[Idade]],$O$3:$R$4,2,TRUE)</f>
        <v>35 - 44</v>
      </c>
    </row>
    <row r="163" spans="2:13">
      <c r="B163" s="19">
        <v>34473182713</v>
      </c>
      <c r="C163" t="s">
        <v>190</v>
      </c>
      <c r="D163" t="s">
        <v>5</v>
      </c>
      <c r="E163" t="s">
        <v>7</v>
      </c>
      <c r="F163" t="s">
        <v>427</v>
      </c>
      <c r="G163" t="s">
        <v>426</v>
      </c>
      <c r="H163" s="1">
        <v>32369</v>
      </c>
      <c r="I163" s="1" t="s">
        <v>429</v>
      </c>
      <c r="J163" t="s">
        <v>453</v>
      </c>
      <c r="K163" s="20">
        <v>29.9</v>
      </c>
      <c r="L163">
        <f ca="1">TRUNC((TODAY()-tBase[[#This Row],[Data Nascimento]])/365)</f>
        <v>37</v>
      </c>
      <c r="M163" t="str">
        <f ca="1">HLOOKUP(tBase[[#This Row],[Idade]],$O$3:$R$4,2,TRUE)</f>
        <v>35 - 44</v>
      </c>
    </row>
    <row r="164" spans="2:13">
      <c r="B164" s="19">
        <v>34488046494</v>
      </c>
      <c r="C164" t="s">
        <v>326</v>
      </c>
      <c r="D164" t="s">
        <v>6</v>
      </c>
      <c r="E164" t="s">
        <v>417</v>
      </c>
      <c r="F164" t="s">
        <v>13</v>
      </c>
      <c r="G164" t="s">
        <v>426</v>
      </c>
      <c r="H164" s="1">
        <v>32278</v>
      </c>
      <c r="I164" s="1" t="s">
        <v>431</v>
      </c>
      <c r="J164" t="s">
        <v>455</v>
      </c>
      <c r="K164" s="20">
        <v>9.9</v>
      </c>
      <c r="L164">
        <f ca="1">TRUNC((TODAY()-tBase[[#This Row],[Data Nascimento]])/365)</f>
        <v>37</v>
      </c>
      <c r="M164" t="str">
        <f ca="1">HLOOKUP(tBase[[#This Row],[Idade]],$O$3:$R$4,2,TRUE)</f>
        <v>35 - 44</v>
      </c>
    </row>
    <row r="165" spans="2:13">
      <c r="B165" s="19">
        <v>34501445196</v>
      </c>
      <c r="C165" t="s">
        <v>363</v>
      </c>
      <c r="D165" t="s">
        <v>5</v>
      </c>
      <c r="E165" t="s">
        <v>7</v>
      </c>
      <c r="F165" t="s">
        <v>9</v>
      </c>
      <c r="G165" t="s">
        <v>424</v>
      </c>
      <c r="H165" s="1">
        <v>27167</v>
      </c>
      <c r="I165" s="1" t="s">
        <v>432</v>
      </c>
      <c r="J165" t="s">
        <v>455</v>
      </c>
      <c r="K165" s="20">
        <v>9.9</v>
      </c>
      <c r="L165">
        <f ca="1">TRUNC((TODAY()-tBase[[#This Row],[Data Nascimento]])/365)</f>
        <v>51</v>
      </c>
      <c r="M165" t="str">
        <f ca="1">HLOOKUP(tBase[[#This Row],[Idade]],$O$3:$R$4,2,TRUE)</f>
        <v>44 - 54</v>
      </c>
    </row>
    <row r="166" spans="2:13">
      <c r="B166" s="19">
        <v>34597516064</v>
      </c>
      <c r="C166" t="s">
        <v>113</v>
      </c>
      <c r="D166" t="s">
        <v>5</v>
      </c>
      <c r="E166" t="s">
        <v>7</v>
      </c>
      <c r="F166" t="s">
        <v>427</v>
      </c>
      <c r="G166" t="s">
        <v>424</v>
      </c>
      <c r="H166" s="1">
        <v>34698</v>
      </c>
      <c r="I166" s="1" t="s">
        <v>434</v>
      </c>
      <c r="J166" t="s">
        <v>454</v>
      </c>
      <c r="K166" s="20">
        <v>35.9</v>
      </c>
      <c r="L166">
        <f ca="1">TRUNC((TODAY()-tBase[[#This Row],[Data Nascimento]])/365)</f>
        <v>31</v>
      </c>
      <c r="M166" t="str">
        <f ca="1">HLOOKUP(tBase[[#This Row],[Idade]],$O$3:$R$4,2,TRUE)</f>
        <v>24-34</v>
      </c>
    </row>
    <row r="167" spans="2:13">
      <c r="B167" s="19">
        <v>34687761738</v>
      </c>
      <c r="C167" t="s">
        <v>383</v>
      </c>
      <c r="D167" t="s">
        <v>6</v>
      </c>
      <c r="E167" t="s">
        <v>7</v>
      </c>
      <c r="F167" t="s">
        <v>427</v>
      </c>
      <c r="G167" t="s">
        <v>425</v>
      </c>
      <c r="H167" s="1">
        <v>28678</v>
      </c>
      <c r="I167" s="1" t="s">
        <v>430</v>
      </c>
      <c r="J167" t="s">
        <v>453</v>
      </c>
      <c r="K167" s="20">
        <v>29.9</v>
      </c>
      <c r="L167">
        <f ca="1">TRUNC((TODAY()-tBase[[#This Row],[Data Nascimento]])/365)</f>
        <v>47</v>
      </c>
      <c r="M167" t="str">
        <f ca="1">HLOOKUP(tBase[[#This Row],[Idade]],$O$3:$R$4,2,TRUE)</f>
        <v>44 - 54</v>
      </c>
    </row>
    <row r="168" spans="2:13">
      <c r="B168" s="19">
        <v>34823329746</v>
      </c>
      <c r="C168" t="s">
        <v>390</v>
      </c>
      <c r="D168" t="s">
        <v>5</v>
      </c>
      <c r="E168" t="s">
        <v>7</v>
      </c>
      <c r="F168" t="s">
        <v>11</v>
      </c>
      <c r="G168" t="s">
        <v>426</v>
      </c>
      <c r="H168" s="1">
        <v>31195</v>
      </c>
      <c r="I168" s="1" t="s">
        <v>435</v>
      </c>
      <c r="J168" t="s">
        <v>456</v>
      </c>
      <c r="K168" s="20">
        <v>79.900000000000006</v>
      </c>
      <c r="L168">
        <f ca="1">TRUNC((TODAY()-tBase[[#This Row],[Data Nascimento]])/365)</f>
        <v>40</v>
      </c>
      <c r="M168" t="str">
        <f ca="1">HLOOKUP(tBase[[#This Row],[Idade]],$O$3:$R$4,2,TRUE)</f>
        <v>35 - 44</v>
      </c>
    </row>
    <row r="169" spans="2:13">
      <c r="B169" s="19">
        <v>34871980724</v>
      </c>
      <c r="C169" t="s">
        <v>200</v>
      </c>
      <c r="D169" t="s">
        <v>5</v>
      </c>
      <c r="E169" t="s">
        <v>7</v>
      </c>
      <c r="F169" t="s">
        <v>13</v>
      </c>
      <c r="G169" t="s">
        <v>426</v>
      </c>
      <c r="H169" s="1">
        <v>30093</v>
      </c>
      <c r="I169" s="1" t="s">
        <v>436</v>
      </c>
      <c r="J169" t="s">
        <v>453</v>
      </c>
      <c r="K169" s="20">
        <v>29.9</v>
      </c>
      <c r="L169">
        <f ca="1">TRUNC((TODAY()-tBase[[#This Row],[Data Nascimento]])/365)</f>
        <v>43</v>
      </c>
      <c r="M169" t="str">
        <f ca="1">HLOOKUP(tBase[[#This Row],[Idade]],$O$3:$R$4,2,TRUE)</f>
        <v>35 - 44</v>
      </c>
    </row>
    <row r="170" spans="2:13">
      <c r="B170" s="19">
        <v>34970941895</v>
      </c>
      <c r="C170" t="s">
        <v>244</v>
      </c>
      <c r="D170" t="s">
        <v>6</v>
      </c>
      <c r="E170" t="s">
        <v>418</v>
      </c>
      <c r="F170" t="s">
        <v>14</v>
      </c>
      <c r="G170" t="s">
        <v>425</v>
      </c>
      <c r="H170" s="1">
        <v>25721</v>
      </c>
      <c r="I170" s="1" t="s">
        <v>430</v>
      </c>
      <c r="J170" t="s">
        <v>453</v>
      </c>
      <c r="K170" s="20">
        <v>29.9</v>
      </c>
      <c r="L170">
        <f ca="1">TRUNC((TODAY()-tBase[[#This Row],[Data Nascimento]])/365)</f>
        <v>55</v>
      </c>
      <c r="M170" t="str">
        <f ca="1">HLOOKUP(tBase[[#This Row],[Idade]],$O$3:$R$4,2,TRUE)</f>
        <v>54-70</v>
      </c>
    </row>
    <row r="171" spans="2:13">
      <c r="B171" s="19">
        <v>35090452105</v>
      </c>
      <c r="C171" t="s">
        <v>27</v>
      </c>
      <c r="D171" t="s">
        <v>6</v>
      </c>
      <c r="E171" t="s">
        <v>7</v>
      </c>
      <c r="F171" t="s">
        <v>9</v>
      </c>
      <c r="G171" t="s">
        <v>425</v>
      </c>
      <c r="H171" s="1">
        <v>23517</v>
      </c>
      <c r="I171" s="1" t="s">
        <v>435</v>
      </c>
      <c r="J171" t="s">
        <v>455</v>
      </c>
      <c r="K171" s="20">
        <v>9.9</v>
      </c>
      <c r="L171">
        <f ca="1">TRUNC((TODAY()-tBase[[#This Row],[Data Nascimento]])/365)</f>
        <v>61</v>
      </c>
      <c r="M171" t="str">
        <f ca="1">HLOOKUP(tBase[[#This Row],[Idade]],$O$3:$R$4,2,TRUE)</f>
        <v>54-70</v>
      </c>
    </row>
    <row r="172" spans="2:13">
      <c r="B172" s="19">
        <v>35105004714</v>
      </c>
      <c r="C172" t="s">
        <v>311</v>
      </c>
      <c r="D172" t="s">
        <v>5</v>
      </c>
      <c r="E172" t="s">
        <v>417</v>
      </c>
      <c r="F172" t="s">
        <v>427</v>
      </c>
      <c r="G172" t="s">
        <v>424</v>
      </c>
      <c r="H172" s="1">
        <v>33256</v>
      </c>
      <c r="I172" s="1" t="s">
        <v>436</v>
      </c>
      <c r="J172" t="s">
        <v>453</v>
      </c>
      <c r="K172" s="20">
        <v>29.9</v>
      </c>
      <c r="L172">
        <f ca="1">TRUNC((TODAY()-tBase[[#This Row],[Data Nascimento]])/365)</f>
        <v>35</v>
      </c>
      <c r="M172" t="str">
        <f ca="1">HLOOKUP(tBase[[#This Row],[Idade]],$O$3:$R$4,2,TRUE)</f>
        <v>35 - 44</v>
      </c>
    </row>
    <row r="173" spans="2:13">
      <c r="B173" s="19">
        <v>35121899842</v>
      </c>
      <c r="C173" t="s">
        <v>215</v>
      </c>
      <c r="D173" t="s">
        <v>6</v>
      </c>
      <c r="E173" t="s">
        <v>417</v>
      </c>
      <c r="F173" t="s">
        <v>427</v>
      </c>
      <c r="G173" t="s">
        <v>425</v>
      </c>
      <c r="H173" s="1">
        <v>30252</v>
      </c>
      <c r="I173" s="1" t="s">
        <v>433</v>
      </c>
      <c r="J173" t="s">
        <v>453</v>
      </c>
      <c r="K173" s="20">
        <v>29.9</v>
      </c>
      <c r="L173">
        <f ca="1">TRUNC((TODAY()-tBase[[#This Row],[Data Nascimento]])/365)</f>
        <v>43</v>
      </c>
      <c r="M173" t="str">
        <f ca="1">HLOOKUP(tBase[[#This Row],[Idade]],$O$3:$R$4,2,TRUE)</f>
        <v>35 - 44</v>
      </c>
    </row>
    <row r="174" spans="2:13">
      <c r="B174" s="19">
        <v>35170686850</v>
      </c>
      <c r="C174" t="s">
        <v>69</v>
      </c>
      <c r="D174" t="s">
        <v>6</v>
      </c>
      <c r="E174" t="s">
        <v>8</v>
      </c>
      <c r="F174" t="s">
        <v>427</v>
      </c>
      <c r="G174" t="s">
        <v>426</v>
      </c>
      <c r="H174" s="1">
        <v>29180</v>
      </c>
      <c r="I174" s="1" t="s">
        <v>433</v>
      </c>
      <c r="J174" t="s">
        <v>455</v>
      </c>
      <c r="K174" s="20">
        <v>9.9</v>
      </c>
      <c r="L174">
        <f ca="1">TRUNC((TODAY()-tBase[[#This Row],[Data Nascimento]])/365)</f>
        <v>46</v>
      </c>
      <c r="M174" t="str">
        <f ca="1">HLOOKUP(tBase[[#This Row],[Idade]],$O$3:$R$4,2,TRUE)</f>
        <v>44 - 54</v>
      </c>
    </row>
    <row r="175" spans="2:13">
      <c r="B175" s="19">
        <v>35176580107</v>
      </c>
      <c r="C175" t="s">
        <v>202</v>
      </c>
      <c r="D175" t="s">
        <v>5</v>
      </c>
      <c r="E175" t="s">
        <v>8</v>
      </c>
      <c r="F175" t="s">
        <v>14</v>
      </c>
      <c r="G175" t="s">
        <v>424</v>
      </c>
      <c r="H175" s="1">
        <v>24724</v>
      </c>
      <c r="I175" s="1" t="s">
        <v>433</v>
      </c>
      <c r="J175" t="s">
        <v>453</v>
      </c>
      <c r="K175" s="20">
        <v>29.9</v>
      </c>
      <c r="L175">
        <f ca="1">TRUNC((TODAY()-tBase[[#This Row],[Data Nascimento]])/365)</f>
        <v>58</v>
      </c>
      <c r="M175" t="str">
        <f ca="1">HLOOKUP(tBase[[#This Row],[Idade]],$O$3:$R$4,2,TRUE)</f>
        <v>54-70</v>
      </c>
    </row>
    <row r="176" spans="2:13">
      <c r="B176" s="19">
        <v>35197147629</v>
      </c>
      <c r="C176" t="s">
        <v>80</v>
      </c>
      <c r="D176" t="s">
        <v>5</v>
      </c>
      <c r="E176" t="s">
        <v>7</v>
      </c>
      <c r="F176" t="s">
        <v>13</v>
      </c>
      <c r="G176" t="s">
        <v>426</v>
      </c>
      <c r="H176" s="1">
        <v>25948</v>
      </c>
      <c r="I176" s="1" t="s">
        <v>433</v>
      </c>
      <c r="J176" t="s">
        <v>453</v>
      </c>
      <c r="K176" s="20">
        <v>29.9</v>
      </c>
      <c r="L176">
        <f ca="1">TRUNC((TODAY()-tBase[[#This Row],[Data Nascimento]])/365)</f>
        <v>55</v>
      </c>
      <c r="M176" t="str">
        <f ca="1">HLOOKUP(tBase[[#This Row],[Idade]],$O$3:$R$4,2,TRUE)</f>
        <v>54-70</v>
      </c>
    </row>
    <row r="177" spans="2:13">
      <c r="B177" s="19">
        <v>35417799912</v>
      </c>
      <c r="C177" t="s">
        <v>208</v>
      </c>
      <c r="D177" t="s">
        <v>6</v>
      </c>
      <c r="E177" t="s">
        <v>416</v>
      </c>
      <c r="F177" t="s">
        <v>14</v>
      </c>
      <c r="G177" t="s">
        <v>425</v>
      </c>
      <c r="H177" s="1">
        <v>23216</v>
      </c>
      <c r="I177" s="1" t="s">
        <v>433</v>
      </c>
      <c r="J177" t="s">
        <v>453</v>
      </c>
      <c r="K177" s="20">
        <v>29.9</v>
      </c>
      <c r="L177">
        <f ca="1">TRUNC((TODAY()-tBase[[#This Row],[Data Nascimento]])/365)</f>
        <v>62</v>
      </c>
      <c r="M177" t="str">
        <f ca="1">HLOOKUP(tBase[[#This Row],[Idade]],$O$3:$R$4,2,TRUE)</f>
        <v>54-70</v>
      </c>
    </row>
    <row r="178" spans="2:13">
      <c r="B178" s="19">
        <v>35423777466</v>
      </c>
      <c r="C178" t="s">
        <v>164</v>
      </c>
      <c r="D178" t="s">
        <v>5</v>
      </c>
      <c r="E178" t="s">
        <v>418</v>
      </c>
      <c r="F178" t="s">
        <v>13</v>
      </c>
      <c r="G178" t="s">
        <v>425</v>
      </c>
      <c r="H178" s="1">
        <v>29889</v>
      </c>
      <c r="I178" s="1" t="s">
        <v>433</v>
      </c>
      <c r="J178" t="s">
        <v>455</v>
      </c>
      <c r="K178" s="20">
        <v>9.9</v>
      </c>
      <c r="L178">
        <f ca="1">TRUNC((TODAY()-tBase[[#This Row],[Data Nascimento]])/365)</f>
        <v>44</v>
      </c>
      <c r="M178" t="str">
        <f ca="1">HLOOKUP(tBase[[#This Row],[Idade]],$O$3:$R$4,2,TRUE)</f>
        <v>44 - 54</v>
      </c>
    </row>
    <row r="179" spans="2:13">
      <c r="B179" s="19">
        <v>35462568122</v>
      </c>
      <c r="C179" t="s">
        <v>114</v>
      </c>
      <c r="D179" t="s">
        <v>5</v>
      </c>
      <c r="E179" t="s">
        <v>417</v>
      </c>
      <c r="F179" t="s">
        <v>11</v>
      </c>
      <c r="G179" t="s">
        <v>425</v>
      </c>
      <c r="H179" s="1">
        <v>28993</v>
      </c>
      <c r="I179" s="1" t="s">
        <v>433</v>
      </c>
      <c r="J179" t="s">
        <v>456</v>
      </c>
      <c r="K179" s="20">
        <v>79.900000000000006</v>
      </c>
      <c r="L179">
        <f ca="1">TRUNC((TODAY()-tBase[[#This Row],[Data Nascimento]])/365)</f>
        <v>46</v>
      </c>
      <c r="M179" t="str">
        <f ca="1">HLOOKUP(tBase[[#This Row],[Idade]],$O$3:$R$4,2,TRUE)</f>
        <v>44 - 54</v>
      </c>
    </row>
    <row r="180" spans="2:13">
      <c r="B180" s="19">
        <v>35465159917</v>
      </c>
      <c r="C180" t="s">
        <v>321</v>
      </c>
      <c r="D180" t="s">
        <v>5</v>
      </c>
      <c r="E180" t="s">
        <v>417</v>
      </c>
      <c r="F180" t="s">
        <v>427</v>
      </c>
      <c r="G180" t="s">
        <v>425</v>
      </c>
      <c r="H180" s="1">
        <v>31916</v>
      </c>
      <c r="I180" s="1" t="s">
        <v>433</v>
      </c>
      <c r="J180" t="s">
        <v>455</v>
      </c>
      <c r="K180" s="20">
        <v>9.9</v>
      </c>
      <c r="L180">
        <f ca="1">TRUNC((TODAY()-tBase[[#This Row],[Data Nascimento]])/365)</f>
        <v>38</v>
      </c>
      <c r="M180" t="str">
        <f ca="1">HLOOKUP(tBase[[#This Row],[Idade]],$O$3:$R$4,2,TRUE)</f>
        <v>35 - 44</v>
      </c>
    </row>
    <row r="181" spans="2:13">
      <c r="B181" s="19">
        <v>35527656936</v>
      </c>
      <c r="C181" t="s">
        <v>310</v>
      </c>
      <c r="D181" t="s">
        <v>6</v>
      </c>
      <c r="E181" t="s">
        <v>7</v>
      </c>
      <c r="F181" t="s">
        <v>427</v>
      </c>
      <c r="G181" t="s">
        <v>426</v>
      </c>
      <c r="H181" s="1">
        <v>34788</v>
      </c>
      <c r="I181" s="1" t="s">
        <v>433</v>
      </c>
      <c r="J181" t="s">
        <v>453</v>
      </c>
      <c r="K181" s="20">
        <v>29.9</v>
      </c>
      <c r="L181">
        <f ca="1">TRUNC((TODAY()-tBase[[#This Row],[Data Nascimento]])/365)</f>
        <v>30</v>
      </c>
      <c r="M181" t="str">
        <f ca="1">HLOOKUP(tBase[[#This Row],[Idade]],$O$3:$R$4,2,TRUE)</f>
        <v>24-34</v>
      </c>
    </row>
    <row r="182" spans="2:13">
      <c r="B182" s="19">
        <v>35548890934</v>
      </c>
      <c r="C182" t="s">
        <v>406</v>
      </c>
      <c r="D182" t="s">
        <v>5</v>
      </c>
      <c r="E182" t="s">
        <v>417</v>
      </c>
      <c r="F182" t="s">
        <v>427</v>
      </c>
      <c r="G182" t="s">
        <v>426</v>
      </c>
      <c r="H182" s="1">
        <v>32232</v>
      </c>
      <c r="I182" s="1" t="s">
        <v>429</v>
      </c>
      <c r="J182" t="s">
        <v>453</v>
      </c>
      <c r="K182" s="20">
        <v>29.9</v>
      </c>
      <c r="L182">
        <f ca="1">TRUNC((TODAY()-tBase[[#This Row],[Data Nascimento]])/365)</f>
        <v>37</v>
      </c>
      <c r="M182" t="str">
        <f ca="1">HLOOKUP(tBase[[#This Row],[Idade]],$O$3:$R$4,2,TRUE)</f>
        <v>35 - 44</v>
      </c>
    </row>
    <row r="183" spans="2:13">
      <c r="B183" s="19">
        <v>35746258274</v>
      </c>
      <c r="C183" t="s">
        <v>190</v>
      </c>
      <c r="D183" t="s">
        <v>5</v>
      </c>
      <c r="E183" t="s">
        <v>7</v>
      </c>
      <c r="F183" t="s">
        <v>427</v>
      </c>
      <c r="G183" t="s">
        <v>426</v>
      </c>
      <c r="H183" s="1">
        <v>20176</v>
      </c>
      <c r="I183" s="1" t="s">
        <v>432</v>
      </c>
      <c r="J183" t="s">
        <v>453</v>
      </c>
      <c r="K183" s="20">
        <v>29.9</v>
      </c>
      <c r="L183">
        <f ca="1">TRUNC((TODAY()-tBase[[#This Row],[Data Nascimento]])/365)</f>
        <v>70</v>
      </c>
      <c r="M183" t="str">
        <f ca="1">HLOOKUP(tBase[[#This Row],[Idade]],$O$3:$R$4,2,TRUE)</f>
        <v>54-70</v>
      </c>
    </row>
    <row r="184" spans="2:13">
      <c r="B184" s="19">
        <v>35783183279</v>
      </c>
      <c r="C184" t="s">
        <v>285</v>
      </c>
      <c r="D184" t="s">
        <v>5</v>
      </c>
      <c r="E184" t="s">
        <v>7</v>
      </c>
      <c r="F184" t="s">
        <v>427</v>
      </c>
      <c r="G184" t="s">
        <v>425</v>
      </c>
      <c r="H184" s="1">
        <v>23239</v>
      </c>
      <c r="I184" s="1" t="s">
        <v>436</v>
      </c>
      <c r="J184" t="s">
        <v>455</v>
      </c>
      <c r="K184" s="20">
        <v>9.9</v>
      </c>
      <c r="L184">
        <f ca="1">TRUNC((TODAY()-tBase[[#This Row],[Data Nascimento]])/365)</f>
        <v>62</v>
      </c>
      <c r="M184" t="str">
        <f ca="1">HLOOKUP(tBase[[#This Row],[Idade]],$O$3:$R$4,2,TRUE)</f>
        <v>54-70</v>
      </c>
    </row>
    <row r="185" spans="2:13">
      <c r="B185" s="19">
        <v>35825297492</v>
      </c>
      <c r="C185" t="s">
        <v>252</v>
      </c>
      <c r="D185" t="s">
        <v>6</v>
      </c>
      <c r="E185" t="s">
        <v>8</v>
      </c>
      <c r="F185" t="s">
        <v>13</v>
      </c>
      <c r="G185" t="s">
        <v>425</v>
      </c>
      <c r="H185" s="1">
        <v>29029</v>
      </c>
      <c r="I185" s="1" t="s">
        <v>436</v>
      </c>
      <c r="J185" t="s">
        <v>455</v>
      </c>
      <c r="K185" s="20">
        <v>9.9</v>
      </c>
      <c r="L185">
        <f ca="1">TRUNC((TODAY()-tBase[[#This Row],[Data Nascimento]])/365)</f>
        <v>46</v>
      </c>
      <c r="M185" t="str">
        <f ca="1">HLOOKUP(tBase[[#This Row],[Idade]],$O$3:$R$4,2,TRUE)</f>
        <v>44 - 54</v>
      </c>
    </row>
    <row r="186" spans="2:13">
      <c r="B186" s="19">
        <v>35897348847</v>
      </c>
      <c r="C186" t="s">
        <v>396</v>
      </c>
      <c r="D186" t="s">
        <v>5</v>
      </c>
      <c r="E186" t="s">
        <v>7</v>
      </c>
      <c r="F186" t="s">
        <v>13</v>
      </c>
      <c r="G186" t="s">
        <v>426</v>
      </c>
      <c r="H186" s="1">
        <v>20146</v>
      </c>
      <c r="I186" s="1" t="s">
        <v>436</v>
      </c>
      <c r="J186" t="s">
        <v>455</v>
      </c>
      <c r="K186" s="20">
        <v>9.9</v>
      </c>
      <c r="L186">
        <f ca="1">TRUNC((TODAY()-tBase[[#This Row],[Data Nascimento]])/365)</f>
        <v>70</v>
      </c>
      <c r="M186" t="str">
        <f ca="1">HLOOKUP(tBase[[#This Row],[Idade]],$O$3:$R$4,2,TRUE)</f>
        <v>54-70</v>
      </c>
    </row>
    <row r="187" spans="2:13">
      <c r="B187" s="19">
        <v>35961398099</v>
      </c>
      <c r="C187" t="s">
        <v>270</v>
      </c>
      <c r="D187" t="s">
        <v>6</v>
      </c>
      <c r="E187" t="s">
        <v>7</v>
      </c>
      <c r="F187" t="s">
        <v>11</v>
      </c>
      <c r="G187" t="s">
        <v>426</v>
      </c>
      <c r="H187" s="1">
        <v>28851</v>
      </c>
      <c r="I187" s="1" t="s">
        <v>436</v>
      </c>
      <c r="J187" t="s">
        <v>456</v>
      </c>
      <c r="K187" s="20">
        <v>79.900000000000006</v>
      </c>
      <c r="L187">
        <f ca="1">TRUNC((TODAY()-tBase[[#This Row],[Data Nascimento]])/365)</f>
        <v>47</v>
      </c>
      <c r="M187" t="str">
        <f ca="1">HLOOKUP(tBase[[#This Row],[Idade]],$O$3:$R$4,2,TRUE)</f>
        <v>44 - 54</v>
      </c>
    </row>
    <row r="188" spans="2:13">
      <c r="B188" s="19">
        <v>36049081781</v>
      </c>
      <c r="C188" t="s">
        <v>305</v>
      </c>
      <c r="D188" t="s">
        <v>6</v>
      </c>
      <c r="E188" t="s">
        <v>7</v>
      </c>
      <c r="F188" t="s">
        <v>427</v>
      </c>
      <c r="G188" t="s">
        <v>425</v>
      </c>
      <c r="H188" s="1">
        <v>30194</v>
      </c>
      <c r="I188" s="1" t="s">
        <v>436</v>
      </c>
      <c r="J188" t="s">
        <v>454</v>
      </c>
      <c r="K188" s="20">
        <v>35.9</v>
      </c>
      <c r="L188">
        <f ca="1">TRUNC((TODAY()-tBase[[#This Row],[Data Nascimento]])/365)</f>
        <v>43</v>
      </c>
      <c r="M188" t="str">
        <f ca="1">HLOOKUP(tBase[[#This Row],[Idade]],$O$3:$R$4,2,TRUE)</f>
        <v>35 - 44</v>
      </c>
    </row>
    <row r="189" spans="2:13">
      <c r="B189" s="19">
        <v>36224475305</v>
      </c>
      <c r="C189" t="s">
        <v>111</v>
      </c>
      <c r="D189" t="s">
        <v>5</v>
      </c>
      <c r="E189" t="s">
        <v>417</v>
      </c>
      <c r="F189" t="s">
        <v>9</v>
      </c>
      <c r="G189" t="s">
        <v>424</v>
      </c>
      <c r="H189" s="1">
        <v>28183</v>
      </c>
      <c r="I189" s="1" t="s">
        <v>436</v>
      </c>
      <c r="J189" t="s">
        <v>455</v>
      </c>
      <c r="K189" s="20">
        <v>9.9</v>
      </c>
      <c r="L189">
        <f ca="1">TRUNC((TODAY()-tBase[[#This Row],[Data Nascimento]])/365)</f>
        <v>48</v>
      </c>
      <c r="M189" t="str">
        <f ca="1">HLOOKUP(tBase[[#This Row],[Idade]],$O$3:$R$4,2,TRUE)</f>
        <v>44 - 54</v>
      </c>
    </row>
    <row r="190" spans="2:13">
      <c r="B190" s="19">
        <v>36291746435</v>
      </c>
      <c r="C190" t="s">
        <v>286</v>
      </c>
      <c r="D190" t="s">
        <v>6</v>
      </c>
      <c r="E190" t="s">
        <v>417</v>
      </c>
      <c r="F190" t="s">
        <v>427</v>
      </c>
      <c r="G190" t="s">
        <v>426</v>
      </c>
      <c r="H190" s="1">
        <v>36045</v>
      </c>
      <c r="I190" s="1" t="s">
        <v>435</v>
      </c>
      <c r="J190" t="s">
        <v>453</v>
      </c>
      <c r="K190" s="20">
        <v>29.9</v>
      </c>
      <c r="L190">
        <f ca="1">TRUNC((TODAY()-tBase[[#This Row],[Data Nascimento]])/365)</f>
        <v>27</v>
      </c>
      <c r="M190" t="str">
        <f ca="1">HLOOKUP(tBase[[#This Row],[Idade]],$O$3:$R$4,2,TRUE)</f>
        <v>24-34</v>
      </c>
    </row>
    <row r="191" spans="2:13">
      <c r="B191" s="19">
        <v>36396081744</v>
      </c>
      <c r="C191" t="s">
        <v>263</v>
      </c>
      <c r="D191" t="s">
        <v>5</v>
      </c>
      <c r="E191" t="s">
        <v>7</v>
      </c>
      <c r="F191" t="s">
        <v>427</v>
      </c>
      <c r="G191" t="s">
        <v>424</v>
      </c>
      <c r="H191" s="1">
        <v>25711</v>
      </c>
      <c r="I191" s="1" t="s">
        <v>433</v>
      </c>
      <c r="J191" t="s">
        <v>453</v>
      </c>
      <c r="K191" s="20">
        <v>29.9</v>
      </c>
      <c r="L191">
        <f ca="1">TRUNC((TODAY()-tBase[[#This Row],[Data Nascimento]])/365)</f>
        <v>55</v>
      </c>
      <c r="M191" t="str">
        <f ca="1">HLOOKUP(tBase[[#This Row],[Idade]],$O$3:$R$4,2,TRUE)</f>
        <v>54-70</v>
      </c>
    </row>
    <row r="192" spans="2:13">
      <c r="B192" s="19">
        <v>36398957082</v>
      </c>
      <c r="C192" t="s">
        <v>398</v>
      </c>
      <c r="D192" t="s">
        <v>5</v>
      </c>
      <c r="E192" t="s">
        <v>417</v>
      </c>
      <c r="F192" t="s">
        <v>13</v>
      </c>
      <c r="G192" t="s">
        <v>426</v>
      </c>
      <c r="H192" s="1">
        <v>29348</v>
      </c>
      <c r="I192" s="1" t="s">
        <v>433</v>
      </c>
      <c r="J192" t="s">
        <v>455</v>
      </c>
      <c r="K192" s="20">
        <v>9.9</v>
      </c>
      <c r="L192">
        <f ca="1">TRUNC((TODAY()-tBase[[#This Row],[Data Nascimento]])/365)</f>
        <v>45</v>
      </c>
      <c r="M192" t="str">
        <f ca="1">HLOOKUP(tBase[[#This Row],[Idade]],$O$3:$R$4,2,TRUE)</f>
        <v>44 - 54</v>
      </c>
    </row>
    <row r="193" spans="2:13">
      <c r="B193" s="19">
        <v>36403873767</v>
      </c>
      <c r="C193" t="s">
        <v>49</v>
      </c>
      <c r="D193" t="s">
        <v>6</v>
      </c>
      <c r="E193" t="s">
        <v>8</v>
      </c>
      <c r="F193" t="s">
        <v>12</v>
      </c>
      <c r="G193" t="s">
        <v>424</v>
      </c>
      <c r="H193" s="1">
        <v>23274</v>
      </c>
      <c r="I193" s="1" t="s">
        <v>433</v>
      </c>
      <c r="J193" t="s">
        <v>454</v>
      </c>
      <c r="K193" s="20">
        <v>35.9</v>
      </c>
      <c r="L193">
        <f ca="1">TRUNC((TODAY()-tBase[[#This Row],[Data Nascimento]])/365)</f>
        <v>62</v>
      </c>
      <c r="M193" t="str">
        <f ca="1">HLOOKUP(tBase[[#This Row],[Idade]],$O$3:$R$4,2,TRUE)</f>
        <v>54-70</v>
      </c>
    </row>
    <row r="194" spans="2:13">
      <c r="B194" s="19">
        <v>36431106330</v>
      </c>
      <c r="C194" t="s">
        <v>79</v>
      </c>
      <c r="D194" t="s">
        <v>6</v>
      </c>
      <c r="E194" t="s">
        <v>8</v>
      </c>
      <c r="F194" t="s">
        <v>12</v>
      </c>
      <c r="G194" t="s">
        <v>424</v>
      </c>
      <c r="H194" s="1">
        <v>30551</v>
      </c>
      <c r="I194" s="1" t="s">
        <v>433</v>
      </c>
      <c r="J194" t="s">
        <v>456</v>
      </c>
      <c r="K194" s="20">
        <v>79.900000000000006</v>
      </c>
      <c r="L194">
        <f ca="1">TRUNC((TODAY()-tBase[[#This Row],[Data Nascimento]])/365)</f>
        <v>42</v>
      </c>
      <c r="M194" t="str">
        <f ca="1">HLOOKUP(tBase[[#This Row],[Idade]],$O$3:$R$4,2,TRUE)</f>
        <v>35 - 44</v>
      </c>
    </row>
    <row r="195" spans="2:13">
      <c r="B195" s="19">
        <v>36441615871</v>
      </c>
      <c r="C195" t="s">
        <v>334</v>
      </c>
      <c r="D195" t="s">
        <v>6</v>
      </c>
      <c r="E195" t="s">
        <v>417</v>
      </c>
      <c r="F195" t="s">
        <v>427</v>
      </c>
      <c r="G195" t="s">
        <v>425</v>
      </c>
      <c r="H195" s="1">
        <v>31733</v>
      </c>
      <c r="I195" s="1" t="s">
        <v>433</v>
      </c>
      <c r="J195" t="s">
        <v>453</v>
      </c>
      <c r="K195" s="20">
        <v>29.9</v>
      </c>
      <c r="L195">
        <f ca="1">TRUNC((TODAY()-tBase[[#This Row],[Data Nascimento]])/365)</f>
        <v>39</v>
      </c>
      <c r="M195" t="str">
        <f ca="1">HLOOKUP(tBase[[#This Row],[Idade]],$O$3:$R$4,2,TRUE)</f>
        <v>35 - 44</v>
      </c>
    </row>
    <row r="196" spans="2:13">
      <c r="B196" s="19">
        <v>36548470324</v>
      </c>
      <c r="C196" t="s">
        <v>368</v>
      </c>
      <c r="D196" t="s">
        <v>5</v>
      </c>
      <c r="E196" t="s">
        <v>416</v>
      </c>
      <c r="F196" t="s">
        <v>13</v>
      </c>
      <c r="G196" t="s">
        <v>425</v>
      </c>
      <c r="H196" s="1">
        <v>27090</v>
      </c>
      <c r="I196" s="1" t="s">
        <v>430</v>
      </c>
      <c r="J196" t="s">
        <v>453</v>
      </c>
      <c r="K196" s="20">
        <v>29.9</v>
      </c>
      <c r="L196">
        <f ca="1">TRUNC((TODAY()-tBase[[#This Row],[Data Nascimento]])/365)</f>
        <v>51</v>
      </c>
      <c r="M196" t="str">
        <f ca="1">HLOOKUP(tBase[[#This Row],[Idade]],$O$3:$R$4,2,TRUE)</f>
        <v>44 - 54</v>
      </c>
    </row>
    <row r="197" spans="2:13">
      <c r="B197" s="19">
        <v>36755533362</v>
      </c>
      <c r="C197" t="s">
        <v>49</v>
      </c>
      <c r="D197" t="s">
        <v>6</v>
      </c>
      <c r="E197" t="s">
        <v>8</v>
      </c>
      <c r="F197" t="s">
        <v>12</v>
      </c>
      <c r="G197" t="s">
        <v>424</v>
      </c>
      <c r="H197" s="1">
        <v>33244</v>
      </c>
      <c r="I197" s="1" t="s">
        <v>429</v>
      </c>
      <c r="J197" t="s">
        <v>454</v>
      </c>
      <c r="K197" s="20">
        <v>35.9</v>
      </c>
      <c r="L197">
        <f ca="1">TRUNC((TODAY()-tBase[[#This Row],[Data Nascimento]])/365)</f>
        <v>35</v>
      </c>
      <c r="M197" t="str">
        <f ca="1">HLOOKUP(tBase[[#This Row],[Idade]],$O$3:$R$4,2,TRUE)</f>
        <v>35 - 44</v>
      </c>
    </row>
    <row r="198" spans="2:13">
      <c r="B198" s="19">
        <v>36796717410</v>
      </c>
      <c r="C198" t="s">
        <v>255</v>
      </c>
      <c r="D198" t="s">
        <v>5</v>
      </c>
      <c r="E198" t="s">
        <v>417</v>
      </c>
      <c r="F198" t="s">
        <v>9</v>
      </c>
      <c r="G198" t="s">
        <v>425</v>
      </c>
      <c r="H198" s="1">
        <v>31218</v>
      </c>
      <c r="I198" s="1" t="s">
        <v>431</v>
      </c>
      <c r="J198" t="s">
        <v>455</v>
      </c>
      <c r="K198" s="20">
        <v>9.9</v>
      </c>
      <c r="L198">
        <f ca="1">TRUNC((TODAY()-tBase[[#This Row],[Data Nascimento]])/365)</f>
        <v>40</v>
      </c>
      <c r="M198" t="str">
        <f ca="1">HLOOKUP(tBase[[#This Row],[Idade]],$O$3:$R$4,2,TRUE)</f>
        <v>35 - 44</v>
      </c>
    </row>
    <row r="199" spans="2:13">
      <c r="B199" s="19">
        <v>36829497298</v>
      </c>
      <c r="C199" t="s">
        <v>168</v>
      </c>
      <c r="D199" t="s">
        <v>6</v>
      </c>
      <c r="E199" t="s">
        <v>416</v>
      </c>
      <c r="F199" t="s">
        <v>13</v>
      </c>
      <c r="G199" t="s">
        <v>425</v>
      </c>
      <c r="H199" s="1">
        <v>29883</v>
      </c>
      <c r="I199" s="1" t="s">
        <v>432</v>
      </c>
      <c r="J199" t="s">
        <v>454</v>
      </c>
      <c r="K199" s="20">
        <v>35.9</v>
      </c>
      <c r="L199">
        <f ca="1">TRUNC((TODAY()-tBase[[#This Row],[Data Nascimento]])/365)</f>
        <v>44</v>
      </c>
      <c r="M199" t="str">
        <f ca="1">HLOOKUP(tBase[[#This Row],[Idade]],$O$3:$R$4,2,TRUE)</f>
        <v>44 - 54</v>
      </c>
    </row>
    <row r="200" spans="2:13">
      <c r="B200" s="19">
        <v>36836051756</v>
      </c>
      <c r="C200" t="s">
        <v>204</v>
      </c>
      <c r="D200" t="s">
        <v>5</v>
      </c>
      <c r="E200" t="s">
        <v>418</v>
      </c>
      <c r="F200" t="s">
        <v>13</v>
      </c>
      <c r="G200" t="s">
        <v>425</v>
      </c>
      <c r="H200" s="1">
        <v>22557</v>
      </c>
      <c r="I200" s="1" t="s">
        <v>434</v>
      </c>
      <c r="J200" t="s">
        <v>455</v>
      </c>
      <c r="K200" s="20">
        <v>9.9</v>
      </c>
      <c r="L200">
        <f ca="1">TRUNC((TODAY()-tBase[[#This Row],[Data Nascimento]])/365)</f>
        <v>64</v>
      </c>
      <c r="M200" t="str">
        <f ca="1">HLOOKUP(tBase[[#This Row],[Idade]],$O$3:$R$4,2,TRUE)</f>
        <v>54-70</v>
      </c>
    </row>
    <row r="201" spans="2:13">
      <c r="B201" s="19">
        <v>36873140092</v>
      </c>
      <c r="C201" t="s">
        <v>191</v>
      </c>
      <c r="D201" t="s">
        <v>5</v>
      </c>
      <c r="E201" t="s">
        <v>417</v>
      </c>
      <c r="F201" t="s">
        <v>427</v>
      </c>
      <c r="G201" t="s">
        <v>424</v>
      </c>
      <c r="H201" s="1">
        <v>33437</v>
      </c>
      <c r="I201" s="1" t="s">
        <v>430</v>
      </c>
      <c r="J201" t="s">
        <v>453</v>
      </c>
      <c r="K201" s="20">
        <v>29.9</v>
      </c>
      <c r="L201">
        <f ca="1">TRUNC((TODAY()-tBase[[#This Row],[Data Nascimento]])/365)</f>
        <v>34</v>
      </c>
      <c r="M201" t="str">
        <f ca="1">HLOOKUP(tBase[[#This Row],[Idade]],$O$3:$R$4,2,TRUE)</f>
        <v>24-34</v>
      </c>
    </row>
    <row r="202" spans="2:13">
      <c r="B202" s="19">
        <v>36909199882</v>
      </c>
      <c r="C202" t="s">
        <v>16</v>
      </c>
      <c r="D202" t="s">
        <v>6</v>
      </c>
      <c r="E202" t="s">
        <v>7</v>
      </c>
      <c r="F202" t="s">
        <v>14</v>
      </c>
      <c r="G202" t="s">
        <v>426</v>
      </c>
      <c r="H202" s="1">
        <v>29807</v>
      </c>
      <c r="I202" s="1" t="s">
        <v>435</v>
      </c>
      <c r="J202" t="s">
        <v>453</v>
      </c>
      <c r="K202" s="20">
        <v>29.9</v>
      </c>
      <c r="L202">
        <f ca="1">TRUNC((TODAY()-tBase[[#This Row],[Data Nascimento]])/365)</f>
        <v>44</v>
      </c>
      <c r="M202" t="str">
        <f ca="1">HLOOKUP(tBase[[#This Row],[Idade]],$O$3:$R$4,2,TRUE)</f>
        <v>44 - 54</v>
      </c>
    </row>
    <row r="203" spans="2:13">
      <c r="B203" s="19">
        <v>36918195071</v>
      </c>
      <c r="C203" t="s">
        <v>89</v>
      </c>
      <c r="D203" t="s">
        <v>6</v>
      </c>
      <c r="E203" t="s">
        <v>8</v>
      </c>
      <c r="F203" t="s">
        <v>427</v>
      </c>
      <c r="G203" t="s">
        <v>424</v>
      </c>
      <c r="H203" s="1">
        <v>30225</v>
      </c>
      <c r="I203" s="1" t="s">
        <v>436</v>
      </c>
      <c r="J203" t="s">
        <v>454</v>
      </c>
      <c r="K203" s="20">
        <v>35.9</v>
      </c>
      <c r="L203">
        <f ca="1">TRUNC((TODAY()-tBase[[#This Row],[Data Nascimento]])/365)</f>
        <v>43</v>
      </c>
      <c r="M203" t="str">
        <f ca="1">HLOOKUP(tBase[[#This Row],[Idade]],$O$3:$R$4,2,TRUE)</f>
        <v>35 - 44</v>
      </c>
    </row>
    <row r="204" spans="2:13">
      <c r="B204" s="19">
        <v>36953446241</v>
      </c>
      <c r="C204" t="s">
        <v>34</v>
      </c>
      <c r="D204" t="s">
        <v>5</v>
      </c>
      <c r="E204" t="s">
        <v>417</v>
      </c>
      <c r="F204" t="s">
        <v>14</v>
      </c>
      <c r="G204" t="s">
        <v>425</v>
      </c>
      <c r="H204" s="1">
        <v>25269</v>
      </c>
      <c r="I204" s="1" t="s">
        <v>430</v>
      </c>
      <c r="J204" t="s">
        <v>453</v>
      </c>
      <c r="K204" s="20">
        <v>29.9</v>
      </c>
      <c r="L204">
        <f ca="1">TRUNC((TODAY()-tBase[[#This Row],[Data Nascimento]])/365)</f>
        <v>56</v>
      </c>
      <c r="M204" t="str">
        <f ca="1">HLOOKUP(tBase[[#This Row],[Idade]],$O$3:$R$4,2,TRUE)</f>
        <v>54-70</v>
      </c>
    </row>
    <row r="205" spans="2:13">
      <c r="B205" s="19">
        <v>36997621098</v>
      </c>
      <c r="C205" t="s">
        <v>99</v>
      </c>
      <c r="D205" t="s">
        <v>6</v>
      </c>
      <c r="E205" t="s">
        <v>8</v>
      </c>
      <c r="F205" t="s">
        <v>9</v>
      </c>
      <c r="G205" t="s">
        <v>426</v>
      </c>
      <c r="H205" s="1">
        <v>22462</v>
      </c>
      <c r="I205" s="1" t="s">
        <v>435</v>
      </c>
      <c r="J205" t="s">
        <v>455</v>
      </c>
      <c r="K205" s="20">
        <v>9.9</v>
      </c>
      <c r="L205">
        <f ca="1">TRUNC((TODAY()-tBase[[#This Row],[Data Nascimento]])/365)</f>
        <v>64</v>
      </c>
      <c r="M205" t="str">
        <f ca="1">HLOOKUP(tBase[[#This Row],[Idade]],$O$3:$R$4,2,TRUE)</f>
        <v>54-70</v>
      </c>
    </row>
    <row r="206" spans="2:13">
      <c r="B206" s="19">
        <v>37045628622</v>
      </c>
      <c r="C206" t="s">
        <v>152</v>
      </c>
      <c r="D206" t="s">
        <v>6</v>
      </c>
      <c r="E206" t="s">
        <v>8</v>
      </c>
      <c r="F206" t="s">
        <v>13</v>
      </c>
      <c r="G206" t="s">
        <v>425</v>
      </c>
      <c r="H206" s="1">
        <v>24936</v>
      </c>
      <c r="I206" s="1" t="s">
        <v>436</v>
      </c>
      <c r="J206" t="s">
        <v>453</v>
      </c>
      <c r="K206" s="20">
        <v>29.9</v>
      </c>
      <c r="L206">
        <f ca="1">TRUNC((TODAY()-tBase[[#This Row],[Data Nascimento]])/365)</f>
        <v>57</v>
      </c>
      <c r="M206" t="str">
        <f ca="1">HLOOKUP(tBase[[#This Row],[Idade]],$O$3:$R$4,2,TRUE)</f>
        <v>54-70</v>
      </c>
    </row>
    <row r="207" spans="2:13">
      <c r="B207" s="19">
        <v>37057811668</v>
      </c>
      <c r="C207" t="s">
        <v>393</v>
      </c>
      <c r="D207" t="s">
        <v>6</v>
      </c>
      <c r="E207" t="s">
        <v>7</v>
      </c>
      <c r="F207" t="s">
        <v>427</v>
      </c>
      <c r="G207" t="s">
        <v>424</v>
      </c>
      <c r="H207" s="1">
        <v>32635</v>
      </c>
      <c r="I207" s="1" t="s">
        <v>433</v>
      </c>
      <c r="J207" t="s">
        <v>455</v>
      </c>
      <c r="K207" s="20">
        <v>9.9</v>
      </c>
      <c r="L207">
        <f ca="1">TRUNC((TODAY()-tBase[[#This Row],[Data Nascimento]])/365)</f>
        <v>36</v>
      </c>
      <c r="M207" t="str">
        <f ca="1">HLOOKUP(tBase[[#This Row],[Idade]],$O$3:$R$4,2,TRUE)</f>
        <v>35 - 44</v>
      </c>
    </row>
    <row r="208" spans="2:13">
      <c r="B208" s="19">
        <v>37211590394</v>
      </c>
      <c r="C208" t="s">
        <v>349</v>
      </c>
      <c r="D208" t="s">
        <v>5</v>
      </c>
      <c r="E208" t="s">
        <v>8</v>
      </c>
      <c r="F208" t="s">
        <v>427</v>
      </c>
      <c r="G208" t="s">
        <v>426</v>
      </c>
      <c r="H208" s="1">
        <v>30669</v>
      </c>
      <c r="I208" s="1" t="s">
        <v>433</v>
      </c>
      <c r="J208" t="s">
        <v>454</v>
      </c>
      <c r="K208" s="20">
        <v>35.9</v>
      </c>
      <c r="L208">
        <f ca="1">TRUNC((TODAY()-tBase[[#This Row],[Data Nascimento]])/365)</f>
        <v>42</v>
      </c>
      <c r="M208" t="str">
        <f ca="1">HLOOKUP(tBase[[#This Row],[Idade]],$O$3:$R$4,2,TRUE)</f>
        <v>35 - 44</v>
      </c>
    </row>
    <row r="209" spans="2:13">
      <c r="B209" s="19">
        <v>37236926966</v>
      </c>
      <c r="C209" t="s">
        <v>347</v>
      </c>
      <c r="D209" t="s">
        <v>5</v>
      </c>
      <c r="E209" t="s">
        <v>7</v>
      </c>
      <c r="F209" t="s">
        <v>13</v>
      </c>
      <c r="G209" t="s">
        <v>425</v>
      </c>
      <c r="H209" s="1">
        <v>23978</v>
      </c>
      <c r="I209" s="1" t="s">
        <v>433</v>
      </c>
      <c r="J209" t="s">
        <v>453</v>
      </c>
      <c r="K209" s="20">
        <v>29.9</v>
      </c>
      <c r="L209">
        <f ca="1">TRUNC((TODAY()-tBase[[#This Row],[Data Nascimento]])/365)</f>
        <v>60</v>
      </c>
      <c r="M209" t="str">
        <f ca="1">HLOOKUP(tBase[[#This Row],[Idade]],$O$3:$R$4,2,TRUE)</f>
        <v>54-70</v>
      </c>
    </row>
    <row r="210" spans="2:13">
      <c r="B210" s="19">
        <v>37275901953</v>
      </c>
      <c r="C210" t="s">
        <v>318</v>
      </c>
      <c r="D210" t="s">
        <v>6</v>
      </c>
      <c r="E210" t="s">
        <v>417</v>
      </c>
      <c r="F210" t="s">
        <v>11</v>
      </c>
      <c r="G210" t="s">
        <v>426</v>
      </c>
      <c r="H210" s="1">
        <v>23462</v>
      </c>
      <c r="I210" s="1" t="s">
        <v>433</v>
      </c>
      <c r="J210" t="s">
        <v>456</v>
      </c>
      <c r="K210" s="20">
        <v>79.900000000000006</v>
      </c>
      <c r="L210">
        <f ca="1">TRUNC((TODAY()-tBase[[#This Row],[Data Nascimento]])/365)</f>
        <v>61</v>
      </c>
      <c r="M210" t="str">
        <f ca="1">HLOOKUP(tBase[[#This Row],[Idade]],$O$3:$R$4,2,TRUE)</f>
        <v>54-70</v>
      </c>
    </row>
    <row r="211" spans="2:13">
      <c r="B211" s="19">
        <v>37464613995</v>
      </c>
      <c r="C211" t="s">
        <v>48</v>
      </c>
      <c r="D211" t="s">
        <v>5</v>
      </c>
      <c r="E211" t="s">
        <v>416</v>
      </c>
      <c r="F211" t="s">
        <v>13</v>
      </c>
      <c r="G211" t="s">
        <v>425</v>
      </c>
      <c r="H211" s="1">
        <v>29466</v>
      </c>
      <c r="I211" s="1" t="s">
        <v>433</v>
      </c>
      <c r="J211" t="s">
        <v>454</v>
      </c>
      <c r="K211" s="20">
        <v>35.9</v>
      </c>
      <c r="L211">
        <f ca="1">TRUNC((TODAY()-tBase[[#This Row],[Data Nascimento]])/365)</f>
        <v>45</v>
      </c>
      <c r="M211" t="str">
        <f ca="1">HLOOKUP(tBase[[#This Row],[Idade]],$O$3:$R$4,2,TRUE)</f>
        <v>44 - 54</v>
      </c>
    </row>
    <row r="212" spans="2:13">
      <c r="B212" s="19">
        <v>37625766880</v>
      </c>
      <c r="C212" t="s">
        <v>261</v>
      </c>
      <c r="D212" t="s">
        <v>6</v>
      </c>
      <c r="E212" t="s">
        <v>417</v>
      </c>
      <c r="F212" t="s">
        <v>427</v>
      </c>
      <c r="G212" t="s">
        <v>425</v>
      </c>
      <c r="H212" s="1">
        <v>23145</v>
      </c>
      <c r="I212" s="1" t="s">
        <v>433</v>
      </c>
      <c r="J212" t="s">
        <v>455</v>
      </c>
      <c r="K212" s="20">
        <v>9.9</v>
      </c>
      <c r="L212">
        <f ca="1">TRUNC((TODAY()-tBase[[#This Row],[Data Nascimento]])/365)</f>
        <v>62</v>
      </c>
      <c r="M212" t="str">
        <f ca="1">HLOOKUP(tBase[[#This Row],[Idade]],$O$3:$R$4,2,TRUE)</f>
        <v>54-70</v>
      </c>
    </row>
    <row r="213" spans="2:13">
      <c r="B213" s="19">
        <v>37652222715</v>
      </c>
      <c r="C213" t="s">
        <v>229</v>
      </c>
      <c r="D213" t="s">
        <v>6</v>
      </c>
      <c r="E213" t="s">
        <v>8</v>
      </c>
      <c r="F213" t="s">
        <v>427</v>
      </c>
      <c r="G213" t="s">
        <v>426</v>
      </c>
      <c r="H213" s="1">
        <v>34949</v>
      </c>
      <c r="I213" s="1" t="s">
        <v>433</v>
      </c>
      <c r="J213" t="s">
        <v>454</v>
      </c>
      <c r="K213" s="20">
        <v>35.9</v>
      </c>
      <c r="L213">
        <f ca="1">TRUNC((TODAY()-tBase[[#This Row],[Data Nascimento]])/365)</f>
        <v>30</v>
      </c>
      <c r="M213" t="str">
        <f ca="1">HLOOKUP(tBase[[#This Row],[Idade]],$O$3:$R$4,2,TRUE)</f>
        <v>24-34</v>
      </c>
    </row>
    <row r="214" spans="2:13">
      <c r="B214" s="19">
        <v>37693210425</v>
      </c>
      <c r="C214" t="s">
        <v>336</v>
      </c>
      <c r="D214" t="s">
        <v>6</v>
      </c>
      <c r="E214" t="s">
        <v>7</v>
      </c>
      <c r="F214" t="s">
        <v>13</v>
      </c>
      <c r="G214" t="s">
        <v>426</v>
      </c>
      <c r="H214" s="1">
        <v>32689</v>
      </c>
      <c r="I214" s="1" t="s">
        <v>433</v>
      </c>
      <c r="J214" t="s">
        <v>454</v>
      </c>
      <c r="K214" s="20">
        <v>35.9</v>
      </c>
      <c r="L214">
        <f ca="1">TRUNC((TODAY()-tBase[[#This Row],[Data Nascimento]])/365)</f>
        <v>36</v>
      </c>
      <c r="M214" t="str">
        <f ca="1">HLOOKUP(tBase[[#This Row],[Idade]],$O$3:$R$4,2,TRUE)</f>
        <v>35 - 44</v>
      </c>
    </row>
    <row r="215" spans="2:13">
      <c r="B215" s="19">
        <v>37769893799</v>
      </c>
      <c r="C215" t="s">
        <v>316</v>
      </c>
      <c r="D215" t="s">
        <v>6</v>
      </c>
      <c r="E215" t="s">
        <v>7</v>
      </c>
      <c r="F215" t="s">
        <v>14</v>
      </c>
      <c r="G215" t="s">
        <v>426</v>
      </c>
      <c r="H215" s="1">
        <v>22161</v>
      </c>
      <c r="I215" s="1" t="s">
        <v>433</v>
      </c>
      <c r="J215" t="s">
        <v>453</v>
      </c>
      <c r="K215" s="20">
        <v>29.9</v>
      </c>
      <c r="L215">
        <f ca="1">TRUNC((TODAY()-tBase[[#This Row],[Data Nascimento]])/365)</f>
        <v>65</v>
      </c>
      <c r="M215" t="str">
        <f ca="1">HLOOKUP(tBase[[#This Row],[Idade]],$O$3:$R$4,2,TRUE)</f>
        <v>54-70</v>
      </c>
    </row>
    <row r="216" spans="2:13">
      <c r="B216" s="19">
        <v>37770682454</v>
      </c>
      <c r="C216" t="s">
        <v>378</v>
      </c>
      <c r="D216" t="s">
        <v>5</v>
      </c>
      <c r="E216" t="s">
        <v>417</v>
      </c>
      <c r="F216" t="s">
        <v>11</v>
      </c>
      <c r="G216" t="s">
        <v>426</v>
      </c>
      <c r="H216" s="1">
        <v>24066</v>
      </c>
      <c r="I216" s="1" t="s">
        <v>429</v>
      </c>
      <c r="J216" t="s">
        <v>456</v>
      </c>
      <c r="K216" s="20">
        <v>79.900000000000006</v>
      </c>
      <c r="L216">
        <f ca="1">TRUNC((TODAY()-tBase[[#This Row],[Data Nascimento]])/365)</f>
        <v>60</v>
      </c>
      <c r="M216" t="str">
        <f ca="1">HLOOKUP(tBase[[#This Row],[Idade]],$O$3:$R$4,2,TRUE)</f>
        <v>54-70</v>
      </c>
    </row>
    <row r="217" spans="2:13">
      <c r="B217" s="19">
        <v>37789075708</v>
      </c>
      <c r="C217" t="s">
        <v>205</v>
      </c>
      <c r="D217" t="s">
        <v>5</v>
      </c>
      <c r="E217" t="s">
        <v>7</v>
      </c>
      <c r="F217" t="s">
        <v>427</v>
      </c>
      <c r="G217" t="s">
        <v>425</v>
      </c>
      <c r="H217" s="1">
        <v>33101</v>
      </c>
      <c r="I217" s="1" t="s">
        <v>432</v>
      </c>
      <c r="J217" t="s">
        <v>454</v>
      </c>
      <c r="K217" s="20">
        <v>35.9</v>
      </c>
      <c r="L217">
        <f ca="1">TRUNC((TODAY()-tBase[[#This Row],[Data Nascimento]])/365)</f>
        <v>35</v>
      </c>
      <c r="M217" t="str">
        <f ca="1">HLOOKUP(tBase[[#This Row],[Idade]],$O$3:$R$4,2,TRUE)</f>
        <v>35 - 44</v>
      </c>
    </row>
    <row r="218" spans="2:13">
      <c r="B218" s="19">
        <v>37966879871</v>
      </c>
      <c r="C218" t="s">
        <v>127</v>
      </c>
      <c r="D218" t="s">
        <v>6</v>
      </c>
      <c r="E218" t="s">
        <v>7</v>
      </c>
      <c r="F218" t="s">
        <v>12</v>
      </c>
      <c r="G218" t="s">
        <v>425</v>
      </c>
      <c r="H218" s="1">
        <v>24074</v>
      </c>
      <c r="I218" s="1" t="s">
        <v>436</v>
      </c>
      <c r="J218" t="s">
        <v>456</v>
      </c>
      <c r="K218" s="20">
        <v>79.900000000000006</v>
      </c>
      <c r="L218">
        <f ca="1">TRUNC((TODAY()-tBase[[#This Row],[Data Nascimento]])/365)</f>
        <v>60</v>
      </c>
      <c r="M218" t="str">
        <f ca="1">HLOOKUP(tBase[[#This Row],[Idade]],$O$3:$R$4,2,TRUE)</f>
        <v>54-70</v>
      </c>
    </row>
    <row r="219" spans="2:13">
      <c r="B219" s="19">
        <v>37973746271</v>
      </c>
      <c r="C219" t="s">
        <v>129</v>
      </c>
      <c r="D219" t="s">
        <v>6</v>
      </c>
      <c r="E219" t="s">
        <v>8</v>
      </c>
      <c r="F219" t="s">
        <v>427</v>
      </c>
      <c r="G219" t="s">
        <v>424</v>
      </c>
      <c r="H219" s="1">
        <v>28564</v>
      </c>
      <c r="I219" s="1" t="s">
        <v>436</v>
      </c>
      <c r="J219" t="s">
        <v>455</v>
      </c>
      <c r="K219" s="20">
        <v>9.9</v>
      </c>
      <c r="L219">
        <f ca="1">TRUNC((TODAY()-tBase[[#This Row],[Data Nascimento]])/365)</f>
        <v>47</v>
      </c>
      <c r="M219" t="str">
        <f ca="1">HLOOKUP(tBase[[#This Row],[Idade]],$O$3:$R$4,2,TRUE)</f>
        <v>44 - 54</v>
      </c>
    </row>
    <row r="220" spans="2:13">
      <c r="B220" s="19">
        <v>37978687320</v>
      </c>
      <c r="C220" t="s">
        <v>369</v>
      </c>
      <c r="D220" t="s">
        <v>6</v>
      </c>
      <c r="E220" t="s">
        <v>8</v>
      </c>
      <c r="F220" t="s">
        <v>427</v>
      </c>
      <c r="G220" t="s">
        <v>424</v>
      </c>
      <c r="H220" s="1">
        <v>28641</v>
      </c>
      <c r="I220" s="1" t="s">
        <v>436</v>
      </c>
      <c r="J220" t="s">
        <v>455</v>
      </c>
      <c r="K220" s="20">
        <v>9.9</v>
      </c>
      <c r="L220">
        <f ca="1">TRUNC((TODAY()-tBase[[#This Row],[Data Nascimento]])/365)</f>
        <v>47</v>
      </c>
      <c r="M220" t="str">
        <f ca="1">HLOOKUP(tBase[[#This Row],[Idade]],$O$3:$R$4,2,TRUE)</f>
        <v>44 - 54</v>
      </c>
    </row>
    <row r="221" spans="2:13">
      <c r="B221" s="19">
        <v>38016517517</v>
      </c>
      <c r="C221" t="s">
        <v>393</v>
      </c>
      <c r="D221" t="s">
        <v>6</v>
      </c>
      <c r="E221" t="s">
        <v>7</v>
      </c>
      <c r="F221" t="s">
        <v>427</v>
      </c>
      <c r="G221" t="s">
        <v>424</v>
      </c>
      <c r="H221" s="1">
        <v>27316</v>
      </c>
      <c r="I221" s="1" t="s">
        <v>436</v>
      </c>
      <c r="J221" t="s">
        <v>455</v>
      </c>
      <c r="K221" s="20">
        <v>9.9</v>
      </c>
      <c r="L221">
        <f ca="1">TRUNC((TODAY()-tBase[[#This Row],[Data Nascimento]])/365)</f>
        <v>51</v>
      </c>
      <c r="M221" t="str">
        <f ca="1">HLOOKUP(tBase[[#This Row],[Idade]],$O$3:$R$4,2,TRUE)</f>
        <v>44 - 54</v>
      </c>
    </row>
    <row r="222" spans="2:13">
      <c r="B222" s="19">
        <v>38032052054</v>
      </c>
      <c r="C222" t="s">
        <v>412</v>
      </c>
      <c r="D222" t="s">
        <v>5</v>
      </c>
      <c r="E222" t="s">
        <v>8</v>
      </c>
      <c r="F222" t="s">
        <v>14</v>
      </c>
      <c r="G222" t="s">
        <v>425</v>
      </c>
      <c r="H222" s="1">
        <v>29401</v>
      </c>
      <c r="I222" s="1" t="s">
        <v>436</v>
      </c>
      <c r="J222" t="s">
        <v>453</v>
      </c>
      <c r="K222" s="20">
        <v>29.9</v>
      </c>
      <c r="L222">
        <f ca="1">TRUNC((TODAY()-tBase[[#This Row],[Data Nascimento]])/365)</f>
        <v>45</v>
      </c>
      <c r="M222" t="str">
        <f ca="1">HLOOKUP(tBase[[#This Row],[Idade]],$O$3:$R$4,2,TRUE)</f>
        <v>44 - 54</v>
      </c>
    </row>
    <row r="223" spans="2:13">
      <c r="B223" s="19">
        <v>38046725955</v>
      </c>
      <c r="C223" t="s">
        <v>173</v>
      </c>
      <c r="D223" t="s">
        <v>6</v>
      </c>
      <c r="E223" t="s">
        <v>7</v>
      </c>
      <c r="F223" t="s">
        <v>427</v>
      </c>
      <c r="G223" t="s">
        <v>424</v>
      </c>
      <c r="H223" s="1">
        <v>27594</v>
      </c>
      <c r="I223" s="1" t="s">
        <v>436</v>
      </c>
      <c r="J223" t="s">
        <v>454</v>
      </c>
      <c r="K223" s="20">
        <v>35.9</v>
      </c>
      <c r="L223">
        <f ca="1">TRUNC((TODAY()-tBase[[#This Row],[Data Nascimento]])/365)</f>
        <v>50</v>
      </c>
      <c r="M223" t="str">
        <f ca="1">HLOOKUP(tBase[[#This Row],[Idade]],$O$3:$R$4,2,TRUE)</f>
        <v>44 - 54</v>
      </c>
    </row>
    <row r="224" spans="2:13">
      <c r="B224" s="19">
        <v>38165951942</v>
      </c>
      <c r="C224" t="s">
        <v>241</v>
      </c>
      <c r="D224" t="s">
        <v>5</v>
      </c>
      <c r="E224" t="s">
        <v>417</v>
      </c>
      <c r="F224" t="s">
        <v>12</v>
      </c>
      <c r="G224" t="s">
        <v>425</v>
      </c>
      <c r="H224" s="1">
        <v>26914</v>
      </c>
      <c r="I224" s="1" t="s">
        <v>435</v>
      </c>
      <c r="J224" t="s">
        <v>454</v>
      </c>
      <c r="K224" s="20">
        <v>35.9</v>
      </c>
      <c r="L224">
        <f ca="1">TRUNC((TODAY()-tBase[[#This Row],[Data Nascimento]])/365)</f>
        <v>52</v>
      </c>
      <c r="M224" t="str">
        <f ca="1">HLOOKUP(tBase[[#This Row],[Idade]],$O$3:$R$4,2,TRUE)</f>
        <v>44 - 54</v>
      </c>
    </row>
    <row r="225" spans="2:13">
      <c r="B225" s="19">
        <v>38193237578</v>
      </c>
      <c r="C225" t="s">
        <v>112</v>
      </c>
      <c r="D225" t="s">
        <v>5</v>
      </c>
      <c r="E225" t="s">
        <v>8</v>
      </c>
      <c r="F225" t="s">
        <v>14</v>
      </c>
      <c r="G225" t="s">
        <v>425</v>
      </c>
      <c r="H225" s="1">
        <v>32134</v>
      </c>
      <c r="I225" s="1" t="s">
        <v>433</v>
      </c>
      <c r="J225" t="s">
        <v>453</v>
      </c>
      <c r="K225" s="20">
        <v>29.9</v>
      </c>
      <c r="L225">
        <f ca="1">TRUNC((TODAY()-tBase[[#This Row],[Data Nascimento]])/365)</f>
        <v>38</v>
      </c>
      <c r="M225" t="str">
        <f ca="1">HLOOKUP(tBase[[#This Row],[Idade]],$O$3:$R$4,2,TRUE)</f>
        <v>35 - 44</v>
      </c>
    </row>
    <row r="226" spans="2:13">
      <c r="B226" s="19">
        <v>38242427646</v>
      </c>
      <c r="C226" t="s">
        <v>241</v>
      </c>
      <c r="D226" t="s">
        <v>5</v>
      </c>
      <c r="E226" t="s">
        <v>416</v>
      </c>
      <c r="F226" t="s">
        <v>12</v>
      </c>
      <c r="G226" t="s">
        <v>425</v>
      </c>
      <c r="H226" s="1">
        <v>26956</v>
      </c>
      <c r="I226" s="1" t="s">
        <v>433</v>
      </c>
      <c r="J226" t="s">
        <v>454</v>
      </c>
      <c r="K226" s="20">
        <v>35.9</v>
      </c>
      <c r="L226">
        <f ca="1">TRUNC((TODAY()-tBase[[#This Row],[Data Nascimento]])/365)</f>
        <v>52</v>
      </c>
      <c r="M226" t="str">
        <f ca="1">HLOOKUP(tBase[[#This Row],[Idade]],$O$3:$R$4,2,TRUE)</f>
        <v>44 - 54</v>
      </c>
    </row>
    <row r="227" spans="2:13">
      <c r="B227" s="19">
        <v>38262075932</v>
      </c>
      <c r="C227" t="s">
        <v>351</v>
      </c>
      <c r="D227" t="s">
        <v>5</v>
      </c>
      <c r="E227" t="s">
        <v>417</v>
      </c>
      <c r="F227" t="s">
        <v>9</v>
      </c>
      <c r="G227" t="s">
        <v>424</v>
      </c>
      <c r="H227" s="1">
        <v>27231</v>
      </c>
      <c r="I227" s="1" t="s">
        <v>433</v>
      </c>
      <c r="J227" t="s">
        <v>455</v>
      </c>
      <c r="K227" s="20">
        <v>9.9</v>
      </c>
      <c r="L227">
        <f ca="1">TRUNC((TODAY()-tBase[[#This Row],[Data Nascimento]])/365)</f>
        <v>51</v>
      </c>
      <c r="M227" t="str">
        <f ca="1">HLOOKUP(tBase[[#This Row],[Idade]],$O$3:$R$4,2,TRUE)</f>
        <v>44 - 54</v>
      </c>
    </row>
    <row r="228" spans="2:13">
      <c r="B228" s="19">
        <v>38278121652</v>
      </c>
      <c r="C228" t="s">
        <v>112</v>
      </c>
      <c r="D228" t="s">
        <v>5</v>
      </c>
      <c r="E228" t="s">
        <v>8</v>
      </c>
      <c r="F228" t="s">
        <v>14</v>
      </c>
      <c r="G228" t="s">
        <v>425</v>
      </c>
      <c r="H228" s="1">
        <v>22241</v>
      </c>
      <c r="I228" s="1" t="s">
        <v>433</v>
      </c>
      <c r="J228" t="s">
        <v>453</v>
      </c>
      <c r="K228" s="20">
        <v>29.9</v>
      </c>
      <c r="L228">
        <f ca="1">TRUNC((TODAY()-tBase[[#This Row],[Data Nascimento]])/365)</f>
        <v>65</v>
      </c>
      <c r="M228" t="str">
        <f ca="1">HLOOKUP(tBase[[#This Row],[Idade]],$O$3:$R$4,2,TRUE)</f>
        <v>54-70</v>
      </c>
    </row>
    <row r="229" spans="2:13">
      <c r="B229" s="19">
        <v>38385048319</v>
      </c>
      <c r="C229" t="s">
        <v>247</v>
      </c>
      <c r="D229" t="s">
        <v>6</v>
      </c>
      <c r="E229" t="s">
        <v>7</v>
      </c>
      <c r="F229" t="s">
        <v>12</v>
      </c>
      <c r="G229" t="s">
        <v>425</v>
      </c>
      <c r="H229" s="1">
        <v>24581</v>
      </c>
      <c r="I229" s="1" t="s">
        <v>433</v>
      </c>
      <c r="J229" t="s">
        <v>456</v>
      </c>
      <c r="K229" s="20">
        <v>79.900000000000006</v>
      </c>
      <c r="L229">
        <f ca="1">TRUNC((TODAY()-tBase[[#This Row],[Data Nascimento]])/365)</f>
        <v>58</v>
      </c>
      <c r="M229" t="str">
        <f ca="1">HLOOKUP(tBase[[#This Row],[Idade]],$O$3:$R$4,2,TRUE)</f>
        <v>54-70</v>
      </c>
    </row>
    <row r="230" spans="2:13">
      <c r="B230" s="19">
        <v>38423790148</v>
      </c>
      <c r="C230" t="s">
        <v>92</v>
      </c>
      <c r="D230" t="s">
        <v>6</v>
      </c>
      <c r="E230" t="s">
        <v>8</v>
      </c>
      <c r="F230" t="s">
        <v>13</v>
      </c>
      <c r="G230" t="s">
        <v>425</v>
      </c>
      <c r="H230" s="1">
        <v>26660</v>
      </c>
      <c r="I230" s="1" t="s">
        <v>430</v>
      </c>
      <c r="J230" t="s">
        <v>455</v>
      </c>
      <c r="K230" s="20">
        <v>9.9</v>
      </c>
      <c r="L230">
        <f ca="1">TRUNC((TODAY()-tBase[[#This Row],[Data Nascimento]])/365)</f>
        <v>53</v>
      </c>
      <c r="M230" t="str">
        <f ca="1">HLOOKUP(tBase[[#This Row],[Idade]],$O$3:$R$4,2,TRUE)</f>
        <v>44 - 54</v>
      </c>
    </row>
    <row r="231" spans="2:13">
      <c r="B231" s="19">
        <v>38436562260</v>
      </c>
      <c r="C231" t="s">
        <v>125</v>
      </c>
      <c r="D231" t="s">
        <v>6</v>
      </c>
      <c r="E231" t="s">
        <v>7</v>
      </c>
      <c r="F231" t="s">
        <v>427</v>
      </c>
      <c r="G231" t="s">
        <v>425</v>
      </c>
      <c r="H231" s="1">
        <v>31018</v>
      </c>
      <c r="I231" s="1" t="s">
        <v>429</v>
      </c>
      <c r="J231" t="s">
        <v>454</v>
      </c>
      <c r="K231" s="20">
        <v>35.9</v>
      </c>
      <c r="L231">
        <f ca="1">TRUNC((TODAY()-tBase[[#This Row],[Data Nascimento]])/365)</f>
        <v>41</v>
      </c>
      <c r="M231" t="str">
        <f ca="1">HLOOKUP(tBase[[#This Row],[Idade]],$O$3:$R$4,2,TRUE)</f>
        <v>35 - 44</v>
      </c>
    </row>
    <row r="232" spans="2:13">
      <c r="B232" s="19">
        <v>38480201900</v>
      </c>
      <c r="C232" t="s">
        <v>246</v>
      </c>
      <c r="D232" t="s">
        <v>6</v>
      </c>
      <c r="E232" t="s">
        <v>417</v>
      </c>
      <c r="F232" t="s">
        <v>11</v>
      </c>
      <c r="G232" t="s">
        <v>426</v>
      </c>
      <c r="H232" s="1">
        <v>30429</v>
      </c>
      <c r="I232" s="1" t="s">
        <v>431</v>
      </c>
      <c r="J232" t="s">
        <v>456</v>
      </c>
      <c r="K232" s="20">
        <v>79.900000000000006</v>
      </c>
      <c r="L232">
        <f ca="1">TRUNC((TODAY()-tBase[[#This Row],[Data Nascimento]])/365)</f>
        <v>42</v>
      </c>
      <c r="M232" t="str">
        <f ca="1">HLOOKUP(tBase[[#This Row],[Idade]],$O$3:$R$4,2,TRUE)</f>
        <v>35 - 44</v>
      </c>
    </row>
    <row r="233" spans="2:13">
      <c r="B233" s="19">
        <v>38500617594</v>
      </c>
      <c r="C233" t="s">
        <v>150</v>
      </c>
      <c r="D233" t="s">
        <v>6</v>
      </c>
      <c r="E233" t="s">
        <v>7</v>
      </c>
      <c r="F233" t="s">
        <v>11</v>
      </c>
      <c r="G233" t="s">
        <v>426</v>
      </c>
      <c r="H233" s="1">
        <v>32533</v>
      </c>
      <c r="I233" s="1" t="s">
        <v>432</v>
      </c>
      <c r="J233" t="s">
        <v>456</v>
      </c>
      <c r="K233" s="20">
        <v>79.900000000000006</v>
      </c>
      <c r="L233">
        <f ca="1">TRUNC((TODAY()-tBase[[#This Row],[Data Nascimento]])/365)</f>
        <v>37</v>
      </c>
      <c r="M233" t="str">
        <f ca="1">HLOOKUP(tBase[[#This Row],[Idade]],$O$3:$R$4,2,TRUE)</f>
        <v>35 - 44</v>
      </c>
    </row>
    <row r="234" spans="2:13">
      <c r="B234" s="19">
        <v>38507330255</v>
      </c>
      <c r="C234" t="s">
        <v>161</v>
      </c>
      <c r="D234" t="s">
        <v>5</v>
      </c>
      <c r="E234" t="s">
        <v>417</v>
      </c>
      <c r="F234" t="s">
        <v>427</v>
      </c>
      <c r="G234" t="s">
        <v>425</v>
      </c>
      <c r="H234" s="1">
        <v>26164</v>
      </c>
      <c r="I234" s="1" t="s">
        <v>434</v>
      </c>
      <c r="J234" t="s">
        <v>454</v>
      </c>
      <c r="K234" s="20">
        <v>35.9</v>
      </c>
      <c r="L234">
        <f ca="1">TRUNC((TODAY()-tBase[[#This Row],[Data Nascimento]])/365)</f>
        <v>54</v>
      </c>
      <c r="M234" t="str">
        <f ca="1">HLOOKUP(tBase[[#This Row],[Idade]],$O$3:$R$4,2,TRUE)</f>
        <v>54-70</v>
      </c>
    </row>
    <row r="235" spans="2:13">
      <c r="B235" s="19">
        <v>38563822180</v>
      </c>
      <c r="C235" t="s">
        <v>359</v>
      </c>
      <c r="D235" t="s">
        <v>5</v>
      </c>
      <c r="E235" t="s">
        <v>8</v>
      </c>
      <c r="F235" t="s">
        <v>427</v>
      </c>
      <c r="G235" t="s">
        <v>425</v>
      </c>
      <c r="H235" s="1">
        <v>28753</v>
      </c>
      <c r="I235" s="1" t="s">
        <v>430</v>
      </c>
      <c r="J235" t="s">
        <v>453</v>
      </c>
      <c r="K235" s="20">
        <v>29.9</v>
      </c>
      <c r="L235">
        <f ca="1">TRUNC((TODAY()-tBase[[#This Row],[Data Nascimento]])/365)</f>
        <v>47</v>
      </c>
      <c r="M235" t="str">
        <f ca="1">HLOOKUP(tBase[[#This Row],[Idade]],$O$3:$R$4,2,TRUE)</f>
        <v>44 - 54</v>
      </c>
    </row>
    <row r="236" spans="2:13">
      <c r="B236" s="19">
        <v>38574789204</v>
      </c>
      <c r="C236" t="s">
        <v>210</v>
      </c>
      <c r="D236" t="s">
        <v>6</v>
      </c>
      <c r="E236" t="s">
        <v>7</v>
      </c>
      <c r="F236" t="s">
        <v>11</v>
      </c>
      <c r="G236" t="s">
        <v>426</v>
      </c>
      <c r="H236" s="1">
        <v>25487</v>
      </c>
      <c r="I236" s="1" t="s">
        <v>435</v>
      </c>
      <c r="J236" t="s">
        <v>456</v>
      </c>
      <c r="K236" s="20">
        <v>79.900000000000006</v>
      </c>
      <c r="L236">
        <f ca="1">TRUNC((TODAY()-tBase[[#This Row],[Data Nascimento]])/365)</f>
        <v>56</v>
      </c>
      <c r="M236" t="str">
        <f ca="1">HLOOKUP(tBase[[#This Row],[Idade]],$O$3:$R$4,2,TRUE)</f>
        <v>54-70</v>
      </c>
    </row>
    <row r="237" spans="2:13">
      <c r="B237" s="19">
        <v>38720204448</v>
      </c>
      <c r="C237" t="s">
        <v>401</v>
      </c>
      <c r="D237" t="s">
        <v>6</v>
      </c>
      <c r="E237" t="s">
        <v>417</v>
      </c>
      <c r="F237" t="s">
        <v>427</v>
      </c>
      <c r="G237" t="s">
        <v>425</v>
      </c>
      <c r="H237" s="1">
        <v>30763</v>
      </c>
      <c r="I237" s="1" t="s">
        <v>436</v>
      </c>
      <c r="J237" t="s">
        <v>454</v>
      </c>
      <c r="K237" s="20">
        <v>35.9</v>
      </c>
      <c r="L237">
        <f ca="1">TRUNC((TODAY()-tBase[[#This Row],[Data Nascimento]])/365)</f>
        <v>41</v>
      </c>
      <c r="M237" t="str">
        <f ca="1">HLOOKUP(tBase[[#This Row],[Idade]],$O$3:$R$4,2,TRUE)</f>
        <v>35 - 44</v>
      </c>
    </row>
    <row r="238" spans="2:13">
      <c r="B238" s="19">
        <v>38732340622</v>
      </c>
      <c r="C238" t="s">
        <v>44</v>
      </c>
      <c r="D238" t="s">
        <v>5</v>
      </c>
      <c r="E238" t="s">
        <v>418</v>
      </c>
      <c r="F238" t="s">
        <v>13</v>
      </c>
      <c r="G238" t="s">
        <v>425</v>
      </c>
      <c r="H238" s="1">
        <v>33741</v>
      </c>
      <c r="I238" s="1" t="s">
        <v>430</v>
      </c>
      <c r="J238" t="s">
        <v>455</v>
      </c>
      <c r="K238" s="20">
        <v>9.9</v>
      </c>
      <c r="L238">
        <f ca="1">TRUNC((TODAY()-tBase[[#This Row],[Data Nascimento]])/365)</f>
        <v>33</v>
      </c>
      <c r="M238" t="str">
        <f ca="1">HLOOKUP(tBase[[#This Row],[Idade]],$O$3:$R$4,2,TRUE)</f>
        <v>24-34</v>
      </c>
    </row>
    <row r="239" spans="2:13">
      <c r="B239" s="19">
        <v>38738606466</v>
      </c>
      <c r="C239" t="s">
        <v>234</v>
      </c>
      <c r="D239" t="s">
        <v>6</v>
      </c>
      <c r="E239" t="s">
        <v>417</v>
      </c>
      <c r="F239" t="s">
        <v>11</v>
      </c>
      <c r="G239" t="s">
        <v>425</v>
      </c>
      <c r="H239" s="1">
        <v>35099</v>
      </c>
      <c r="I239" s="1" t="s">
        <v>435</v>
      </c>
      <c r="J239" t="s">
        <v>456</v>
      </c>
      <c r="K239" s="20">
        <v>79.900000000000006</v>
      </c>
      <c r="L239">
        <f ca="1">TRUNC((TODAY()-tBase[[#This Row],[Data Nascimento]])/365)</f>
        <v>30</v>
      </c>
      <c r="M239" t="str">
        <f ca="1">HLOOKUP(tBase[[#This Row],[Idade]],$O$3:$R$4,2,TRUE)</f>
        <v>24-34</v>
      </c>
    </row>
    <row r="240" spans="2:13">
      <c r="B240" s="19">
        <v>38797538027</v>
      </c>
      <c r="C240" t="s">
        <v>284</v>
      </c>
      <c r="D240" t="s">
        <v>5</v>
      </c>
      <c r="E240" t="s">
        <v>418</v>
      </c>
      <c r="F240" t="s">
        <v>13</v>
      </c>
      <c r="G240" t="s">
        <v>425</v>
      </c>
      <c r="H240" s="1">
        <v>22596</v>
      </c>
      <c r="I240" s="1" t="s">
        <v>436</v>
      </c>
      <c r="J240" t="s">
        <v>455</v>
      </c>
      <c r="K240" s="20">
        <v>9.9</v>
      </c>
      <c r="L240">
        <f ca="1">TRUNC((TODAY()-tBase[[#This Row],[Data Nascimento]])/365)</f>
        <v>64</v>
      </c>
      <c r="M240" t="str">
        <f ca="1">HLOOKUP(tBase[[#This Row],[Idade]],$O$3:$R$4,2,TRUE)</f>
        <v>54-70</v>
      </c>
    </row>
    <row r="241" spans="2:13">
      <c r="B241" s="19">
        <v>38804835975</v>
      </c>
      <c r="C241" t="s">
        <v>89</v>
      </c>
      <c r="D241" t="s">
        <v>6</v>
      </c>
      <c r="E241" t="s">
        <v>8</v>
      </c>
      <c r="F241" t="s">
        <v>427</v>
      </c>
      <c r="G241" t="s">
        <v>424</v>
      </c>
      <c r="H241" s="1">
        <v>31802</v>
      </c>
      <c r="I241" s="1" t="s">
        <v>433</v>
      </c>
      <c r="J241" t="s">
        <v>454</v>
      </c>
      <c r="K241" s="20">
        <v>35.9</v>
      </c>
      <c r="L241">
        <f ca="1">TRUNC((TODAY()-tBase[[#This Row],[Data Nascimento]])/365)</f>
        <v>39</v>
      </c>
      <c r="M241" t="str">
        <f ca="1">HLOOKUP(tBase[[#This Row],[Idade]],$O$3:$R$4,2,TRUE)</f>
        <v>35 - 44</v>
      </c>
    </row>
    <row r="242" spans="2:13">
      <c r="B242" s="19">
        <v>39011685266</v>
      </c>
      <c r="C242" t="s">
        <v>109</v>
      </c>
      <c r="D242" t="s">
        <v>5</v>
      </c>
      <c r="E242" t="s">
        <v>8</v>
      </c>
      <c r="F242" t="s">
        <v>427</v>
      </c>
      <c r="G242" t="s">
        <v>425</v>
      </c>
      <c r="H242" s="1">
        <v>25075</v>
      </c>
      <c r="I242" s="1" t="s">
        <v>433</v>
      </c>
      <c r="J242" t="s">
        <v>454</v>
      </c>
      <c r="K242" s="20">
        <v>35.9</v>
      </c>
      <c r="L242">
        <f ca="1">TRUNC((TODAY()-tBase[[#This Row],[Data Nascimento]])/365)</f>
        <v>57</v>
      </c>
      <c r="M242" t="str">
        <f ca="1">HLOOKUP(tBase[[#This Row],[Idade]],$O$3:$R$4,2,TRUE)</f>
        <v>54-70</v>
      </c>
    </row>
    <row r="243" spans="2:13">
      <c r="B243" s="19">
        <v>39016491455</v>
      </c>
      <c r="C243" t="s">
        <v>303</v>
      </c>
      <c r="D243" t="s">
        <v>5</v>
      </c>
      <c r="E243" t="s">
        <v>7</v>
      </c>
      <c r="F243" t="s">
        <v>9</v>
      </c>
      <c r="G243" t="s">
        <v>424</v>
      </c>
      <c r="H243" s="1">
        <v>27491</v>
      </c>
      <c r="I243" s="1" t="s">
        <v>433</v>
      </c>
      <c r="J243" t="s">
        <v>455</v>
      </c>
      <c r="K243" s="20">
        <v>9.9</v>
      </c>
      <c r="L243">
        <f ca="1">TRUNC((TODAY()-tBase[[#This Row],[Data Nascimento]])/365)</f>
        <v>50</v>
      </c>
      <c r="M243" t="str">
        <f ca="1">HLOOKUP(tBase[[#This Row],[Idade]],$O$3:$R$4,2,TRUE)</f>
        <v>44 - 54</v>
      </c>
    </row>
    <row r="244" spans="2:13">
      <c r="B244" s="19">
        <v>39161320210</v>
      </c>
      <c r="C244" t="s">
        <v>134</v>
      </c>
      <c r="D244" t="s">
        <v>6</v>
      </c>
      <c r="E244" t="s">
        <v>417</v>
      </c>
      <c r="F244" t="s">
        <v>13</v>
      </c>
      <c r="G244" t="s">
        <v>425</v>
      </c>
      <c r="H244" s="1">
        <v>31562</v>
      </c>
      <c r="I244" s="1" t="s">
        <v>433</v>
      </c>
      <c r="J244" t="s">
        <v>455</v>
      </c>
      <c r="K244" s="20">
        <v>9.9</v>
      </c>
      <c r="L244">
        <f ca="1">TRUNC((TODAY()-tBase[[#This Row],[Data Nascimento]])/365)</f>
        <v>39</v>
      </c>
      <c r="M244" t="str">
        <f ca="1">HLOOKUP(tBase[[#This Row],[Idade]],$O$3:$R$4,2,TRUE)</f>
        <v>35 - 44</v>
      </c>
    </row>
    <row r="245" spans="2:13">
      <c r="B245" s="19">
        <v>39205147195</v>
      </c>
      <c r="C245" t="s">
        <v>101</v>
      </c>
      <c r="D245" t="s">
        <v>6</v>
      </c>
      <c r="E245" t="s">
        <v>417</v>
      </c>
      <c r="F245" t="s">
        <v>427</v>
      </c>
      <c r="G245" t="s">
        <v>425</v>
      </c>
      <c r="H245" s="1">
        <v>20599</v>
      </c>
      <c r="I245" s="1" t="s">
        <v>433</v>
      </c>
      <c r="J245" t="s">
        <v>454</v>
      </c>
      <c r="K245" s="20">
        <v>35.9</v>
      </c>
      <c r="L245">
        <f ca="1">TRUNC((TODAY()-tBase[[#This Row],[Data Nascimento]])/365)</f>
        <v>69</v>
      </c>
      <c r="M245" t="str">
        <f ca="1">HLOOKUP(tBase[[#This Row],[Idade]],$O$3:$R$4,2,TRUE)</f>
        <v>54-70</v>
      </c>
    </row>
    <row r="246" spans="2:13">
      <c r="B246" s="19">
        <v>39217268673</v>
      </c>
      <c r="C246" t="s">
        <v>31</v>
      </c>
      <c r="D246" t="s">
        <v>6</v>
      </c>
      <c r="E246" t="s">
        <v>417</v>
      </c>
      <c r="F246" t="s">
        <v>12</v>
      </c>
      <c r="G246" t="s">
        <v>424</v>
      </c>
      <c r="H246" s="1">
        <v>23872</v>
      </c>
      <c r="I246" s="1" t="s">
        <v>433</v>
      </c>
      <c r="J246" t="s">
        <v>456</v>
      </c>
      <c r="K246" s="20">
        <v>79.900000000000006</v>
      </c>
      <c r="L246">
        <f ca="1">TRUNC((TODAY()-tBase[[#This Row],[Data Nascimento]])/365)</f>
        <v>60</v>
      </c>
      <c r="M246" t="str">
        <f ca="1">HLOOKUP(tBase[[#This Row],[Idade]],$O$3:$R$4,2,TRUE)</f>
        <v>54-70</v>
      </c>
    </row>
    <row r="247" spans="2:13">
      <c r="B247" s="19">
        <v>39300028907</v>
      </c>
      <c r="C247" t="s">
        <v>339</v>
      </c>
      <c r="D247" t="s">
        <v>6</v>
      </c>
      <c r="E247" t="s">
        <v>8</v>
      </c>
      <c r="F247" t="s">
        <v>9</v>
      </c>
      <c r="G247" t="s">
        <v>426</v>
      </c>
      <c r="H247" s="1">
        <v>20778</v>
      </c>
      <c r="I247" s="1" t="s">
        <v>433</v>
      </c>
      <c r="J247" t="s">
        <v>455</v>
      </c>
      <c r="K247" s="20">
        <v>9.9</v>
      </c>
      <c r="L247">
        <f ca="1">TRUNC((TODAY()-tBase[[#This Row],[Data Nascimento]])/365)</f>
        <v>69</v>
      </c>
      <c r="M247" t="str">
        <f ca="1">HLOOKUP(tBase[[#This Row],[Idade]],$O$3:$R$4,2,TRUE)</f>
        <v>54-70</v>
      </c>
    </row>
    <row r="248" spans="2:13">
      <c r="B248" s="19">
        <v>39316864102</v>
      </c>
      <c r="C248" t="s">
        <v>126</v>
      </c>
      <c r="D248" t="s">
        <v>6</v>
      </c>
      <c r="E248" t="s">
        <v>417</v>
      </c>
      <c r="F248" t="s">
        <v>11</v>
      </c>
      <c r="G248" t="s">
        <v>426</v>
      </c>
      <c r="H248" s="1">
        <v>29399</v>
      </c>
      <c r="I248" s="1" t="s">
        <v>433</v>
      </c>
      <c r="J248" t="s">
        <v>456</v>
      </c>
      <c r="K248" s="20">
        <v>79.900000000000006</v>
      </c>
      <c r="L248">
        <f ca="1">TRUNC((TODAY()-tBase[[#This Row],[Data Nascimento]])/365)</f>
        <v>45</v>
      </c>
      <c r="M248" t="str">
        <f ca="1">HLOOKUP(tBase[[#This Row],[Idade]],$O$3:$R$4,2,TRUE)</f>
        <v>44 - 54</v>
      </c>
    </row>
    <row r="249" spans="2:13">
      <c r="B249" s="19">
        <v>39357979099</v>
      </c>
      <c r="C249" t="s">
        <v>81</v>
      </c>
      <c r="D249" t="s">
        <v>6</v>
      </c>
      <c r="E249" t="s">
        <v>417</v>
      </c>
      <c r="F249" t="s">
        <v>427</v>
      </c>
      <c r="G249" t="s">
        <v>425</v>
      </c>
      <c r="H249" s="1">
        <v>28224</v>
      </c>
      <c r="I249" s="1" t="s">
        <v>433</v>
      </c>
      <c r="J249" t="s">
        <v>455</v>
      </c>
      <c r="K249" s="20">
        <v>9.9</v>
      </c>
      <c r="L249">
        <f ca="1">TRUNC((TODAY()-tBase[[#This Row],[Data Nascimento]])/365)</f>
        <v>48</v>
      </c>
      <c r="M249" t="str">
        <f ca="1">HLOOKUP(tBase[[#This Row],[Idade]],$O$3:$R$4,2,TRUE)</f>
        <v>44 - 54</v>
      </c>
    </row>
    <row r="250" spans="2:13">
      <c r="B250" s="19">
        <v>39482642623</v>
      </c>
      <c r="C250" t="s">
        <v>25</v>
      </c>
      <c r="D250" t="s">
        <v>6</v>
      </c>
      <c r="E250" t="s">
        <v>7</v>
      </c>
      <c r="F250" t="s">
        <v>12</v>
      </c>
      <c r="G250" t="s">
        <v>425</v>
      </c>
      <c r="H250" s="1">
        <v>25330</v>
      </c>
      <c r="I250" s="1" t="s">
        <v>429</v>
      </c>
      <c r="J250" t="s">
        <v>454</v>
      </c>
      <c r="K250" s="20">
        <v>35.9</v>
      </c>
      <c r="L250">
        <f ca="1">TRUNC((TODAY()-tBase[[#This Row],[Data Nascimento]])/365)</f>
        <v>56</v>
      </c>
      <c r="M250" t="str">
        <f ca="1">HLOOKUP(tBase[[#This Row],[Idade]],$O$3:$R$4,2,TRUE)</f>
        <v>54-70</v>
      </c>
    </row>
    <row r="251" spans="2:13">
      <c r="B251" s="19">
        <v>39613225496</v>
      </c>
      <c r="C251" t="s">
        <v>371</v>
      </c>
      <c r="D251" t="s">
        <v>6</v>
      </c>
      <c r="E251" t="s">
        <v>416</v>
      </c>
      <c r="F251" t="s">
        <v>13</v>
      </c>
      <c r="G251" t="s">
        <v>424</v>
      </c>
      <c r="H251" s="1">
        <v>26673</v>
      </c>
      <c r="I251" s="1" t="s">
        <v>432</v>
      </c>
      <c r="J251" t="s">
        <v>453</v>
      </c>
      <c r="K251" s="20">
        <v>29.9</v>
      </c>
      <c r="L251">
        <f ca="1">TRUNC((TODAY()-tBase[[#This Row],[Data Nascimento]])/365)</f>
        <v>53</v>
      </c>
      <c r="M251" t="str">
        <f ca="1">HLOOKUP(tBase[[#This Row],[Idade]],$O$3:$R$4,2,TRUE)</f>
        <v>44 - 54</v>
      </c>
    </row>
    <row r="252" spans="2:13">
      <c r="B252" s="19">
        <v>39632140009</v>
      </c>
      <c r="C252" t="s">
        <v>100</v>
      </c>
      <c r="D252" t="s">
        <v>6</v>
      </c>
      <c r="E252" t="s">
        <v>7</v>
      </c>
      <c r="F252" t="s">
        <v>14</v>
      </c>
      <c r="G252" t="s">
        <v>425</v>
      </c>
      <c r="H252" s="1">
        <v>32081</v>
      </c>
      <c r="I252" s="1" t="s">
        <v>436</v>
      </c>
      <c r="J252" t="s">
        <v>453</v>
      </c>
      <c r="K252" s="20">
        <v>29.9</v>
      </c>
      <c r="L252">
        <f ca="1">TRUNC((TODAY()-tBase[[#This Row],[Data Nascimento]])/365)</f>
        <v>38</v>
      </c>
      <c r="M252" t="str">
        <f ca="1">HLOOKUP(tBase[[#This Row],[Idade]],$O$3:$R$4,2,TRUE)</f>
        <v>35 - 44</v>
      </c>
    </row>
    <row r="253" spans="2:13">
      <c r="B253" s="19">
        <v>39660449593</v>
      </c>
      <c r="C253" t="s">
        <v>291</v>
      </c>
      <c r="D253" t="s">
        <v>5</v>
      </c>
      <c r="E253" t="s">
        <v>416</v>
      </c>
      <c r="F253" t="s">
        <v>9</v>
      </c>
      <c r="G253" t="s">
        <v>424</v>
      </c>
      <c r="H253" s="1">
        <v>33937</v>
      </c>
      <c r="I253" s="1" t="s">
        <v>436</v>
      </c>
      <c r="J253" t="s">
        <v>455</v>
      </c>
      <c r="K253" s="20">
        <v>9.9</v>
      </c>
      <c r="L253">
        <f ca="1">TRUNC((TODAY()-tBase[[#This Row],[Data Nascimento]])/365)</f>
        <v>33</v>
      </c>
      <c r="M253" t="str">
        <f ca="1">HLOOKUP(tBase[[#This Row],[Idade]],$O$3:$R$4,2,TRUE)</f>
        <v>24-34</v>
      </c>
    </row>
    <row r="254" spans="2:13">
      <c r="B254" s="19">
        <v>39678618932</v>
      </c>
      <c r="C254" t="s">
        <v>72</v>
      </c>
      <c r="D254" t="s">
        <v>5</v>
      </c>
      <c r="E254" t="s">
        <v>8</v>
      </c>
      <c r="F254" t="s">
        <v>13</v>
      </c>
      <c r="G254" t="s">
        <v>425</v>
      </c>
      <c r="H254" s="1">
        <v>27621</v>
      </c>
      <c r="I254" s="1" t="s">
        <v>436</v>
      </c>
      <c r="J254" t="s">
        <v>454</v>
      </c>
      <c r="K254" s="20">
        <v>35.9</v>
      </c>
      <c r="L254">
        <f ca="1">TRUNC((TODAY()-tBase[[#This Row],[Data Nascimento]])/365)</f>
        <v>50</v>
      </c>
      <c r="M254" t="str">
        <f ca="1">HLOOKUP(tBase[[#This Row],[Idade]],$O$3:$R$4,2,TRUE)</f>
        <v>44 - 54</v>
      </c>
    </row>
    <row r="255" spans="2:13">
      <c r="B255" s="19">
        <v>39680758592</v>
      </c>
      <c r="C255" t="s">
        <v>45</v>
      </c>
      <c r="D255" t="s">
        <v>6</v>
      </c>
      <c r="E255" t="s">
        <v>7</v>
      </c>
      <c r="F255" t="s">
        <v>427</v>
      </c>
      <c r="G255" t="s">
        <v>425</v>
      </c>
      <c r="H255" s="1">
        <v>32253</v>
      </c>
      <c r="I255" s="1" t="s">
        <v>436</v>
      </c>
      <c r="J255" t="s">
        <v>455</v>
      </c>
      <c r="K255" s="20">
        <v>9.9</v>
      </c>
      <c r="L255">
        <f ca="1">TRUNC((TODAY()-tBase[[#This Row],[Data Nascimento]])/365)</f>
        <v>37</v>
      </c>
      <c r="M255" t="str">
        <f ca="1">HLOOKUP(tBase[[#This Row],[Idade]],$O$3:$R$4,2,TRUE)</f>
        <v>35 - 44</v>
      </c>
    </row>
    <row r="256" spans="2:13">
      <c r="B256" s="19">
        <v>39721320066</v>
      </c>
      <c r="C256" t="s">
        <v>239</v>
      </c>
      <c r="D256" t="s">
        <v>5</v>
      </c>
      <c r="E256" t="s">
        <v>8</v>
      </c>
      <c r="F256" t="s">
        <v>427</v>
      </c>
      <c r="G256" t="s">
        <v>425</v>
      </c>
      <c r="H256" s="1">
        <v>25660</v>
      </c>
      <c r="I256" s="1" t="s">
        <v>436</v>
      </c>
      <c r="J256" t="s">
        <v>453</v>
      </c>
      <c r="K256" s="20">
        <v>29.9</v>
      </c>
      <c r="L256">
        <f ca="1">TRUNC((TODAY()-tBase[[#This Row],[Data Nascimento]])/365)</f>
        <v>55</v>
      </c>
      <c r="M256" t="str">
        <f ca="1">HLOOKUP(tBase[[#This Row],[Idade]],$O$3:$R$4,2,TRUE)</f>
        <v>54-70</v>
      </c>
    </row>
    <row r="257" spans="2:13">
      <c r="B257" s="19">
        <v>39724964915</v>
      </c>
      <c r="C257" t="s">
        <v>234</v>
      </c>
      <c r="D257" t="s">
        <v>6</v>
      </c>
      <c r="E257" t="s">
        <v>416</v>
      </c>
      <c r="F257" t="s">
        <v>11</v>
      </c>
      <c r="G257" t="s">
        <v>425</v>
      </c>
      <c r="H257" s="1">
        <v>24044</v>
      </c>
      <c r="I257" s="1" t="s">
        <v>436</v>
      </c>
      <c r="J257" t="s">
        <v>456</v>
      </c>
      <c r="K257" s="20">
        <v>79.900000000000006</v>
      </c>
      <c r="L257">
        <f ca="1">TRUNC((TODAY()-tBase[[#This Row],[Data Nascimento]])/365)</f>
        <v>60</v>
      </c>
      <c r="M257" t="str">
        <f ca="1">HLOOKUP(tBase[[#This Row],[Idade]],$O$3:$R$4,2,TRUE)</f>
        <v>54-70</v>
      </c>
    </row>
    <row r="258" spans="2:13">
      <c r="B258" s="19">
        <v>39816227977</v>
      </c>
      <c r="C258" t="s">
        <v>301</v>
      </c>
      <c r="D258" t="s">
        <v>5</v>
      </c>
      <c r="E258" t="s">
        <v>417</v>
      </c>
      <c r="F258" t="s">
        <v>427</v>
      </c>
      <c r="G258" t="s">
        <v>425</v>
      </c>
      <c r="H258" s="1">
        <v>27162</v>
      </c>
      <c r="I258" s="1" t="s">
        <v>435</v>
      </c>
      <c r="J258" t="s">
        <v>454</v>
      </c>
      <c r="K258" s="20">
        <v>35.9</v>
      </c>
      <c r="L258">
        <f ca="1">TRUNC((TODAY()-tBase[[#This Row],[Data Nascimento]])/365)</f>
        <v>51</v>
      </c>
      <c r="M258" t="str">
        <f ca="1">HLOOKUP(tBase[[#This Row],[Idade]],$O$3:$R$4,2,TRUE)</f>
        <v>44 - 54</v>
      </c>
    </row>
    <row r="259" spans="2:13">
      <c r="B259" s="19">
        <v>39864520583</v>
      </c>
      <c r="C259" t="s">
        <v>17</v>
      </c>
      <c r="D259" t="s">
        <v>6</v>
      </c>
      <c r="E259" t="s">
        <v>7</v>
      </c>
      <c r="F259" t="s">
        <v>427</v>
      </c>
      <c r="G259" t="s">
        <v>425</v>
      </c>
      <c r="H259" s="1">
        <v>34689</v>
      </c>
      <c r="I259" s="1" t="s">
        <v>433</v>
      </c>
      <c r="J259" t="s">
        <v>454</v>
      </c>
      <c r="K259" s="20">
        <v>35.9</v>
      </c>
      <c r="L259">
        <f ca="1">TRUNC((TODAY()-tBase[[#This Row],[Data Nascimento]])/365)</f>
        <v>31</v>
      </c>
      <c r="M259" t="str">
        <f ca="1">HLOOKUP(tBase[[#This Row],[Idade]],$O$3:$R$4,2,TRUE)</f>
        <v>24-34</v>
      </c>
    </row>
    <row r="260" spans="2:13">
      <c r="B260" s="19">
        <v>40059307494</v>
      </c>
      <c r="C260" t="s">
        <v>160</v>
      </c>
      <c r="D260" t="s">
        <v>5</v>
      </c>
      <c r="E260" t="s">
        <v>7</v>
      </c>
      <c r="F260" t="s">
        <v>14</v>
      </c>
      <c r="G260" t="s">
        <v>426</v>
      </c>
      <c r="H260" s="1">
        <v>20239</v>
      </c>
      <c r="I260" s="1" t="s">
        <v>433</v>
      </c>
      <c r="J260" t="s">
        <v>453</v>
      </c>
      <c r="K260" s="20">
        <v>29.9</v>
      </c>
      <c r="L260">
        <f ca="1">TRUNC((TODAY()-tBase[[#This Row],[Data Nascimento]])/365)</f>
        <v>70</v>
      </c>
      <c r="M260" t="str">
        <f ca="1">HLOOKUP(tBase[[#This Row],[Idade]],$O$3:$R$4,2,TRUE)</f>
        <v>54-70</v>
      </c>
    </row>
    <row r="261" spans="2:13">
      <c r="B261" s="19">
        <v>40159055249</v>
      </c>
      <c r="C261" t="s">
        <v>350</v>
      </c>
      <c r="D261" t="s">
        <v>6</v>
      </c>
      <c r="E261" t="s">
        <v>7</v>
      </c>
      <c r="F261" t="s">
        <v>13</v>
      </c>
      <c r="G261" t="s">
        <v>426</v>
      </c>
      <c r="H261" s="1">
        <v>26165</v>
      </c>
      <c r="I261" s="1" t="s">
        <v>433</v>
      </c>
      <c r="J261" t="s">
        <v>455</v>
      </c>
      <c r="K261" s="20">
        <v>9.9</v>
      </c>
      <c r="L261">
        <f ca="1">TRUNC((TODAY()-tBase[[#This Row],[Data Nascimento]])/365)</f>
        <v>54</v>
      </c>
      <c r="M261" t="str">
        <f ca="1">HLOOKUP(tBase[[#This Row],[Idade]],$O$3:$R$4,2,TRUE)</f>
        <v>54-70</v>
      </c>
    </row>
    <row r="262" spans="2:13">
      <c r="B262" s="19">
        <v>40164211200</v>
      </c>
      <c r="C262" t="s">
        <v>65</v>
      </c>
      <c r="D262" t="s">
        <v>6</v>
      </c>
      <c r="E262" t="s">
        <v>7</v>
      </c>
      <c r="F262" t="s">
        <v>427</v>
      </c>
      <c r="G262" t="s">
        <v>425</v>
      </c>
      <c r="H262" s="1">
        <v>21293</v>
      </c>
      <c r="I262" s="1" t="s">
        <v>433</v>
      </c>
      <c r="J262" t="s">
        <v>454</v>
      </c>
      <c r="K262" s="20">
        <v>35.9</v>
      </c>
      <c r="L262">
        <f ca="1">TRUNC((TODAY()-tBase[[#This Row],[Data Nascimento]])/365)</f>
        <v>67</v>
      </c>
      <c r="M262" t="str">
        <f ca="1">HLOOKUP(tBase[[#This Row],[Idade]],$O$3:$R$4,2,TRUE)</f>
        <v>54-70</v>
      </c>
    </row>
    <row r="263" spans="2:13">
      <c r="B263" s="19">
        <v>40243096179</v>
      </c>
      <c r="C263" t="s">
        <v>203</v>
      </c>
      <c r="D263" t="s">
        <v>5</v>
      </c>
      <c r="E263" t="s">
        <v>7</v>
      </c>
      <c r="F263" t="s">
        <v>13</v>
      </c>
      <c r="G263" t="s">
        <v>425</v>
      </c>
      <c r="H263" s="1">
        <v>24009</v>
      </c>
      <c r="I263" s="1" t="s">
        <v>433</v>
      </c>
      <c r="J263" t="s">
        <v>453</v>
      </c>
      <c r="K263" s="20">
        <v>29.9</v>
      </c>
      <c r="L263">
        <f ca="1">TRUNC((TODAY()-tBase[[#This Row],[Data Nascimento]])/365)</f>
        <v>60</v>
      </c>
      <c r="M263" t="str">
        <f ca="1">HLOOKUP(tBase[[#This Row],[Idade]],$O$3:$R$4,2,TRUE)</f>
        <v>54-70</v>
      </c>
    </row>
    <row r="264" spans="2:13">
      <c r="B264" s="19">
        <v>40248631760</v>
      </c>
      <c r="C264" t="s">
        <v>158</v>
      </c>
      <c r="D264" t="s">
        <v>5</v>
      </c>
      <c r="E264" t="s">
        <v>417</v>
      </c>
      <c r="F264" t="s">
        <v>13</v>
      </c>
      <c r="G264" t="s">
        <v>426</v>
      </c>
      <c r="H264" s="1">
        <v>34838</v>
      </c>
      <c r="I264" s="1" t="s">
        <v>430</v>
      </c>
      <c r="J264" t="s">
        <v>455</v>
      </c>
      <c r="K264" s="20">
        <v>9.9</v>
      </c>
      <c r="L264">
        <f ca="1">TRUNC((TODAY()-tBase[[#This Row],[Data Nascimento]])/365)</f>
        <v>30</v>
      </c>
      <c r="M264" t="str">
        <f ca="1">HLOOKUP(tBase[[#This Row],[Idade]],$O$3:$R$4,2,TRUE)</f>
        <v>24-34</v>
      </c>
    </row>
    <row r="265" spans="2:13">
      <c r="B265" s="19">
        <v>40397347853</v>
      </c>
      <c r="C265" t="s">
        <v>295</v>
      </c>
      <c r="D265" t="s">
        <v>6</v>
      </c>
      <c r="E265" t="s">
        <v>417</v>
      </c>
      <c r="F265" t="s">
        <v>12</v>
      </c>
      <c r="G265" t="s">
        <v>425</v>
      </c>
      <c r="H265" s="1">
        <v>31951</v>
      </c>
      <c r="I265" s="1" t="s">
        <v>429</v>
      </c>
      <c r="J265" t="s">
        <v>456</v>
      </c>
      <c r="K265" s="20">
        <v>79.900000000000006</v>
      </c>
      <c r="L265">
        <f ca="1">TRUNC((TODAY()-tBase[[#This Row],[Data Nascimento]])/365)</f>
        <v>38</v>
      </c>
      <c r="M265" t="str">
        <f ca="1">HLOOKUP(tBase[[#This Row],[Idade]],$O$3:$R$4,2,TRUE)</f>
        <v>35 - 44</v>
      </c>
    </row>
    <row r="266" spans="2:13">
      <c r="B266" s="19">
        <v>40622214948</v>
      </c>
      <c r="C266" t="s">
        <v>402</v>
      </c>
      <c r="D266" t="s">
        <v>5</v>
      </c>
      <c r="E266" t="s">
        <v>8</v>
      </c>
      <c r="F266" t="s">
        <v>11</v>
      </c>
      <c r="G266" t="s">
        <v>424</v>
      </c>
      <c r="H266" s="1">
        <v>31476</v>
      </c>
      <c r="I266" s="1" t="s">
        <v>431</v>
      </c>
      <c r="J266" t="s">
        <v>456</v>
      </c>
      <c r="K266" s="20">
        <v>79.900000000000006</v>
      </c>
      <c r="L266">
        <f ca="1">TRUNC((TODAY()-tBase[[#This Row],[Data Nascimento]])/365)</f>
        <v>39</v>
      </c>
      <c r="M266" t="str">
        <f ca="1">HLOOKUP(tBase[[#This Row],[Idade]],$O$3:$R$4,2,TRUE)</f>
        <v>35 - 44</v>
      </c>
    </row>
    <row r="267" spans="2:13">
      <c r="B267" s="19">
        <v>40810919120</v>
      </c>
      <c r="C267" t="s">
        <v>120</v>
      </c>
      <c r="D267" t="s">
        <v>6</v>
      </c>
      <c r="E267" t="s">
        <v>7</v>
      </c>
      <c r="F267" t="s">
        <v>13</v>
      </c>
      <c r="G267" t="s">
        <v>426</v>
      </c>
      <c r="H267" s="1">
        <v>22131</v>
      </c>
      <c r="I267" s="1" t="s">
        <v>432</v>
      </c>
      <c r="J267" t="s">
        <v>454</v>
      </c>
      <c r="K267" s="20">
        <v>35.9</v>
      </c>
      <c r="L267">
        <f ca="1">TRUNC((TODAY()-tBase[[#This Row],[Data Nascimento]])/365)</f>
        <v>65</v>
      </c>
      <c r="M267" t="str">
        <f ca="1">HLOOKUP(tBase[[#This Row],[Idade]],$O$3:$R$4,2,TRUE)</f>
        <v>54-70</v>
      </c>
    </row>
    <row r="268" spans="2:13">
      <c r="B268" s="19">
        <v>40891216129</v>
      </c>
      <c r="C268" t="s">
        <v>188</v>
      </c>
      <c r="D268" t="s">
        <v>5</v>
      </c>
      <c r="E268" t="s">
        <v>416</v>
      </c>
      <c r="F268" t="s">
        <v>13</v>
      </c>
      <c r="G268" t="s">
        <v>425</v>
      </c>
      <c r="H268" s="1">
        <v>30703</v>
      </c>
      <c r="I268" s="1" t="s">
        <v>434</v>
      </c>
      <c r="J268" t="s">
        <v>455</v>
      </c>
      <c r="K268" s="20">
        <v>9.9</v>
      </c>
      <c r="L268">
        <f ca="1">TRUNC((TODAY()-tBase[[#This Row],[Data Nascimento]])/365)</f>
        <v>42</v>
      </c>
      <c r="M268" t="str">
        <f ca="1">HLOOKUP(tBase[[#This Row],[Idade]],$O$3:$R$4,2,TRUE)</f>
        <v>35 - 44</v>
      </c>
    </row>
    <row r="269" spans="2:13">
      <c r="B269" s="19">
        <v>40907557618</v>
      </c>
      <c r="C269" t="s">
        <v>373</v>
      </c>
      <c r="D269" t="s">
        <v>6</v>
      </c>
      <c r="E269" t="s">
        <v>7</v>
      </c>
      <c r="F269" t="s">
        <v>427</v>
      </c>
      <c r="G269" t="s">
        <v>424</v>
      </c>
      <c r="H269" s="1">
        <v>26700</v>
      </c>
      <c r="I269" s="1" t="s">
        <v>430</v>
      </c>
      <c r="J269" t="s">
        <v>454</v>
      </c>
      <c r="K269" s="20">
        <v>35.9</v>
      </c>
      <c r="L269">
        <f ca="1">TRUNC((TODAY()-tBase[[#This Row],[Data Nascimento]])/365)</f>
        <v>53</v>
      </c>
      <c r="M269" t="str">
        <f ca="1">HLOOKUP(tBase[[#This Row],[Idade]],$O$3:$R$4,2,TRUE)</f>
        <v>44 - 54</v>
      </c>
    </row>
    <row r="270" spans="2:13">
      <c r="B270" s="19">
        <v>40955062884</v>
      </c>
      <c r="C270" t="s">
        <v>146</v>
      </c>
      <c r="D270" t="s">
        <v>6</v>
      </c>
      <c r="E270" t="s">
        <v>417</v>
      </c>
      <c r="F270" t="s">
        <v>13</v>
      </c>
      <c r="G270" t="s">
        <v>425</v>
      </c>
      <c r="H270" s="1">
        <v>33976</v>
      </c>
      <c r="I270" s="1" t="s">
        <v>435</v>
      </c>
      <c r="J270" t="s">
        <v>456</v>
      </c>
      <c r="K270" s="20">
        <v>79.900000000000006</v>
      </c>
      <c r="L270">
        <f ca="1">TRUNC((TODAY()-tBase[[#This Row],[Data Nascimento]])/365)</f>
        <v>33</v>
      </c>
      <c r="M270" t="str">
        <f ca="1">HLOOKUP(tBase[[#This Row],[Idade]],$O$3:$R$4,2,TRUE)</f>
        <v>24-34</v>
      </c>
    </row>
    <row r="271" spans="2:13">
      <c r="B271" s="19">
        <v>41027808363</v>
      </c>
      <c r="C271" t="s">
        <v>289</v>
      </c>
      <c r="D271" t="s">
        <v>5</v>
      </c>
      <c r="E271" t="s">
        <v>8</v>
      </c>
      <c r="F271" t="s">
        <v>12</v>
      </c>
      <c r="G271" t="s">
        <v>424</v>
      </c>
      <c r="H271" s="1">
        <v>31284</v>
      </c>
      <c r="I271" s="1" t="s">
        <v>436</v>
      </c>
      <c r="J271" t="s">
        <v>454</v>
      </c>
      <c r="K271" s="20">
        <v>35.9</v>
      </c>
      <c r="L271">
        <f ca="1">TRUNC((TODAY()-tBase[[#This Row],[Data Nascimento]])/365)</f>
        <v>40</v>
      </c>
      <c r="M271" t="str">
        <f ca="1">HLOOKUP(tBase[[#This Row],[Idade]],$O$3:$R$4,2,TRUE)</f>
        <v>35 - 44</v>
      </c>
    </row>
    <row r="272" spans="2:13">
      <c r="B272" s="19">
        <v>41038445189</v>
      </c>
      <c r="C272" t="s">
        <v>66</v>
      </c>
      <c r="D272" t="s">
        <v>5</v>
      </c>
      <c r="E272" t="s">
        <v>417</v>
      </c>
      <c r="F272" t="s">
        <v>11</v>
      </c>
      <c r="G272" t="s">
        <v>426</v>
      </c>
      <c r="H272" s="1">
        <v>30962</v>
      </c>
      <c r="I272" s="1" t="s">
        <v>430</v>
      </c>
      <c r="J272" t="s">
        <v>456</v>
      </c>
      <c r="K272" s="20">
        <v>79.900000000000006</v>
      </c>
      <c r="L272">
        <f ca="1">TRUNC((TODAY()-tBase[[#This Row],[Data Nascimento]])/365)</f>
        <v>41</v>
      </c>
      <c r="M272" t="str">
        <f ca="1">HLOOKUP(tBase[[#This Row],[Idade]],$O$3:$R$4,2,TRUE)</f>
        <v>35 - 44</v>
      </c>
    </row>
    <row r="273" spans="2:13">
      <c r="B273" s="19">
        <v>41107442085</v>
      </c>
      <c r="C273" t="s">
        <v>324</v>
      </c>
      <c r="D273" t="s">
        <v>6</v>
      </c>
      <c r="E273" t="s">
        <v>418</v>
      </c>
      <c r="F273" t="s">
        <v>13</v>
      </c>
      <c r="G273" t="s">
        <v>425</v>
      </c>
      <c r="H273" s="1">
        <v>23139</v>
      </c>
      <c r="I273" s="1" t="s">
        <v>435</v>
      </c>
      <c r="J273" t="s">
        <v>455</v>
      </c>
      <c r="K273" s="20">
        <v>9.9</v>
      </c>
      <c r="L273">
        <f ca="1">TRUNC((TODAY()-tBase[[#This Row],[Data Nascimento]])/365)</f>
        <v>62</v>
      </c>
      <c r="M273" t="str">
        <f ca="1">HLOOKUP(tBase[[#This Row],[Idade]],$O$3:$R$4,2,TRUE)</f>
        <v>54-70</v>
      </c>
    </row>
    <row r="274" spans="2:13">
      <c r="B274" s="19">
        <v>41158621693</v>
      </c>
      <c r="C274" t="s">
        <v>106</v>
      </c>
      <c r="D274" t="s">
        <v>6</v>
      </c>
      <c r="E274" t="s">
        <v>417</v>
      </c>
      <c r="F274" t="s">
        <v>14</v>
      </c>
      <c r="G274" t="s">
        <v>426</v>
      </c>
      <c r="H274" s="1">
        <v>29118</v>
      </c>
      <c r="I274" s="1" t="s">
        <v>436</v>
      </c>
      <c r="J274" t="s">
        <v>453</v>
      </c>
      <c r="K274" s="20">
        <v>29.9</v>
      </c>
      <c r="L274">
        <f ca="1">TRUNC((TODAY()-tBase[[#This Row],[Data Nascimento]])/365)</f>
        <v>46</v>
      </c>
      <c r="M274" t="str">
        <f ca="1">HLOOKUP(tBase[[#This Row],[Idade]],$O$3:$R$4,2,TRUE)</f>
        <v>44 - 54</v>
      </c>
    </row>
    <row r="275" spans="2:13">
      <c r="B275" s="19">
        <v>41215776974</v>
      </c>
      <c r="C275" t="s">
        <v>220</v>
      </c>
      <c r="D275" t="s">
        <v>6</v>
      </c>
      <c r="E275" t="s">
        <v>7</v>
      </c>
      <c r="F275" t="s">
        <v>14</v>
      </c>
      <c r="G275" t="s">
        <v>425</v>
      </c>
      <c r="H275" s="1">
        <v>27732</v>
      </c>
      <c r="I275" s="1" t="s">
        <v>433</v>
      </c>
      <c r="J275" t="s">
        <v>453</v>
      </c>
      <c r="K275" s="20">
        <v>29.9</v>
      </c>
      <c r="L275">
        <f ca="1">TRUNC((TODAY()-tBase[[#This Row],[Data Nascimento]])/365)</f>
        <v>50</v>
      </c>
      <c r="M275" t="str">
        <f ca="1">HLOOKUP(tBase[[#This Row],[Idade]],$O$3:$R$4,2,TRUE)</f>
        <v>44 - 54</v>
      </c>
    </row>
    <row r="276" spans="2:13">
      <c r="B276" s="19">
        <v>41339088783</v>
      </c>
      <c r="C276" t="s">
        <v>379</v>
      </c>
      <c r="D276" t="s">
        <v>6</v>
      </c>
      <c r="E276" t="s">
        <v>8</v>
      </c>
      <c r="F276" t="s">
        <v>12</v>
      </c>
      <c r="G276" t="s">
        <v>426</v>
      </c>
      <c r="H276" s="1">
        <v>25150</v>
      </c>
      <c r="I276" s="1" t="s">
        <v>433</v>
      </c>
      <c r="J276" t="s">
        <v>455</v>
      </c>
      <c r="K276" s="20">
        <v>9.9</v>
      </c>
      <c r="L276">
        <f ca="1">TRUNC((TODAY()-tBase[[#This Row],[Data Nascimento]])/365)</f>
        <v>57</v>
      </c>
      <c r="M276" t="str">
        <f ca="1">HLOOKUP(tBase[[#This Row],[Idade]],$O$3:$R$4,2,TRUE)</f>
        <v>54-70</v>
      </c>
    </row>
    <row r="277" spans="2:13">
      <c r="B277" s="19">
        <v>41353457861</v>
      </c>
      <c r="C277" t="s">
        <v>392</v>
      </c>
      <c r="D277" t="s">
        <v>5</v>
      </c>
      <c r="E277" t="s">
        <v>8</v>
      </c>
      <c r="F277" t="s">
        <v>13</v>
      </c>
      <c r="G277" t="s">
        <v>425</v>
      </c>
      <c r="H277" s="1">
        <v>34552</v>
      </c>
      <c r="I277" s="1" t="s">
        <v>433</v>
      </c>
      <c r="J277" t="s">
        <v>453</v>
      </c>
      <c r="K277" s="20">
        <v>29.9</v>
      </c>
      <c r="L277">
        <f ca="1">TRUNC((TODAY()-tBase[[#This Row],[Data Nascimento]])/365)</f>
        <v>31</v>
      </c>
      <c r="M277" t="str">
        <f ca="1">HLOOKUP(tBase[[#This Row],[Idade]],$O$3:$R$4,2,TRUE)</f>
        <v>24-34</v>
      </c>
    </row>
    <row r="278" spans="2:13">
      <c r="B278" s="19">
        <v>41369590305</v>
      </c>
      <c r="C278" t="s">
        <v>175</v>
      </c>
      <c r="D278" t="s">
        <v>6</v>
      </c>
      <c r="E278" t="s">
        <v>417</v>
      </c>
      <c r="F278" t="s">
        <v>12</v>
      </c>
      <c r="G278" t="s">
        <v>425</v>
      </c>
      <c r="H278" s="1">
        <v>27201</v>
      </c>
      <c r="I278" s="1" t="s">
        <v>433</v>
      </c>
      <c r="J278" t="s">
        <v>456</v>
      </c>
      <c r="K278" s="20">
        <v>79.900000000000006</v>
      </c>
      <c r="L278">
        <f ca="1">TRUNC((TODAY()-tBase[[#This Row],[Data Nascimento]])/365)</f>
        <v>51</v>
      </c>
      <c r="M278" t="str">
        <f ca="1">HLOOKUP(tBase[[#This Row],[Idade]],$O$3:$R$4,2,TRUE)</f>
        <v>44 - 54</v>
      </c>
    </row>
    <row r="279" spans="2:13">
      <c r="B279" s="19">
        <v>41395444838</v>
      </c>
      <c r="C279" t="s">
        <v>104</v>
      </c>
      <c r="D279" t="s">
        <v>6</v>
      </c>
      <c r="E279" t="s">
        <v>417</v>
      </c>
      <c r="F279" t="s">
        <v>13</v>
      </c>
      <c r="G279" t="s">
        <v>425</v>
      </c>
      <c r="H279" s="1">
        <v>20720</v>
      </c>
      <c r="I279" s="1" t="s">
        <v>433</v>
      </c>
      <c r="J279" t="s">
        <v>453</v>
      </c>
      <c r="K279" s="20">
        <v>29.9</v>
      </c>
      <c r="L279">
        <f ca="1">TRUNC((TODAY()-tBase[[#This Row],[Data Nascimento]])/365)</f>
        <v>69</v>
      </c>
      <c r="M279" t="str">
        <f ca="1">HLOOKUP(tBase[[#This Row],[Idade]],$O$3:$R$4,2,TRUE)</f>
        <v>54-70</v>
      </c>
    </row>
    <row r="280" spans="2:13">
      <c r="B280" s="19">
        <v>41472299450</v>
      </c>
      <c r="C280" t="s">
        <v>251</v>
      </c>
      <c r="D280" t="s">
        <v>5</v>
      </c>
      <c r="E280" t="s">
        <v>416</v>
      </c>
      <c r="F280" t="s">
        <v>13</v>
      </c>
      <c r="G280" t="s">
        <v>424</v>
      </c>
      <c r="H280" s="1">
        <v>32582</v>
      </c>
      <c r="I280" s="1" t="s">
        <v>433</v>
      </c>
      <c r="J280" t="s">
        <v>453</v>
      </c>
      <c r="K280" s="20">
        <v>29.9</v>
      </c>
      <c r="L280">
        <f ca="1">TRUNC((TODAY()-tBase[[#This Row],[Data Nascimento]])/365)</f>
        <v>36</v>
      </c>
      <c r="M280" t="str">
        <f ca="1">HLOOKUP(tBase[[#This Row],[Idade]],$O$3:$R$4,2,TRUE)</f>
        <v>35 - 44</v>
      </c>
    </row>
    <row r="281" spans="2:13">
      <c r="B281" s="19">
        <v>41524354226</v>
      </c>
      <c r="C281" t="s">
        <v>36</v>
      </c>
      <c r="D281" t="s">
        <v>5</v>
      </c>
      <c r="E281" t="s">
        <v>7</v>
      </c>
      <c r="F281" t="s">
        <v>13</v>
      </c>
      <c r="G281" t="s">
        <v>426</v>
      </c>
      <c r="H281" s="1">
        <v>28670</v>
      </c>
      <c r="I281" s="1" t="s">
        <v>433</v>
      </c>
      <c r="J281" t="s">
        <v>455</v>
      </c>
      <c r="K281" s="20">
        <v>9.9</v>
      </c>
      <c r="L281">
        <f ca="1">TRUNC((TODAY()-tBase[[#This Row],[Data Nascimento]])/365)</f>
        <v>47</v>
      </c>
      <c r="M281" t="str">
        <f ca="1">HLOOKUP(tBase[[#This Row],[Idade]],$O$3:$R$4,2,TRUE)</f>
        <v>44 - 54</v>
      </c>
    </row>
    <row r="282" spans="2:13">
      <c r="B282" s="19">
        <v>41632449755</v>
      </c>
      <c r="C282" t="s">
        <v>327</v>
      </c>
      <c r="D282" t="s">
        <v>5</v>
      </c>
      <c r="E282" t="s">
        <v>7</v>
      </c>
      <c r="F282" t="s">
        <v>9</v>
      </c>
      <c r="G282" t="s">
        <v>425</v>
      </c>
      <c r="H282" s="1">
        <v>27531</v>
      </c>
      <c r="I282" s="1" t="s">
        <v>433</v>
      </c>
      <c r="J282" t="s">
        <v>453</v>
      </c>
      <c r="K282" s="20">
        <v>29.9</v>
      </c>
      <c r="L282">
        <f ca="1">TRUNC((TODAY()-tBase[[#This Row],[Data Nascimento]])/365)</f>
        <v>50</v>
      </c>
      <c r="M282" t="str">
        <f ca="1">HLOOKUP(tBase[[#This Row],[Idade]],$O$3:$R$4,2,TRUE)</f>
        <v>44 - 54</v>
      </c>
    </row>
    <row r="283" spans="2:13">
      <c r="B283" s="19">
        <v>41701732128</v>
      </c>
      <c r="C283" t="s">
        <v>180</v>
      </c>
      <c r="D283" t="s">
        <v>5</v>
      </c>
      <c r="E283" t="s">
        <v>7</v>
      </c>
      <c r="F283" t="s">
        <v>13</v>
      </c>
      <c r="G283" t="s">
        <v>425</v>
      </c>
      <c r="H283" s="1">
        <v>34194</v>
      </c>
      <c r="I283" s="1" t="s">
        <v>433</v>
      </c>
      <c r="J283" t="s">
        <v>455</v>
      </c>
      <c r="K283" s="20">
        <v>9.9</v>
      </c>
      <c r="L283">
        <f ca="1">TRUNC((TODAY()-tBase[[#This Row],[Data Nascimento]])/365)</f>
        <v>32</v>
      </c>
      <c r="M283" t="str">
        <f ca="1">HLOOKUP(tBase[[#This Row],[Idade]],$O$3:$R$4,2,TRUE)</f>
        <v>24-34</v>
      </c>
    </row>
    <row r="284" spans="2:13">
      <c r="B284" s="19">
        <v>41731968364</v>
      </c>
      <c r="C284" t="s">
        <v>47</v>
      </c>
      <c r="D284" t="s">
        <v>6</v>
      </c>
      <c r="E284" t="s">
        <v>7</v>
      </c>
      <c r="F284" t="s">
        <v>427</v>
      </c>
      <c r="G284" t="s">
        <v>425</v>
      </c>
      <c r="H284" s="1">
        <v>25419</v>
      </c>
      <c r="I284" s="1" t="s">
        <v>429</v>
      </c>
      <c r="J284" t="s">
        <v>453</v>
      </c>
      <c r="K284" s="20">
        <v>29.9</v>
      </c>
      <c r="L284">
        <f ca="1">TRUNC((TODAY()-tBase[[#This Row],[Data Nascimento]])/365)</f>
        <v>56</v>
      </c>
      <c r="M284" t="str">
        <f ca="1">HLOOKUP(tBase[[#This Row],[Idade]],$O$3:$R$4,2,TRUE)</f>
        <v>54-70</v>
      </c>
    </row>
    <row r="285" spans="2:13">
      <c r="B285" s="19">
        <v>41775805487</v>
      </c>
      <c r="C285" t="s">
        <v>338</v>
      </c>
      <c r="D285" t="s">
        <v>6</v>
      </c>
      <c r="E285" t="s">
        <v>417</v>
      </c>
      <c r="F285" t="s">
        <v>13</v>
      </c>
      <c r="G285" t="s">
        <v>426</v>
      </c>
      <c r="H285" s="1">
        <v>29946</v>
      </c>
      <c r="I285" s="1" t="s">
        <v>432</v>
      </c>
      <c r="J285" t="s">
        <v>456</v>
      </c>
      <c r="K285" s="20">
        <v>79.900000000000006</v>
      </c>
      <c r="L285">
        <f ca="1">TRUNC((TODAY()-tBase[[#This Row],[Data Nascimento]])/365)</f>
        <v>44</v>
      </c>
      <c r="M285" t="str">
        <f ca="1">HLOOKUP(tBase[[#This Row],[Idade]],$O$3:$R$4,2,TRUE)</f>
        <v>44 - 54</v>
      </c>
    </row>
    <row r="286" spans="2:13">
      <c r="B286" s="19">
        <v>41826922437</v>
      </c>
      <c r="C286" t="s">
        <v>258</v>
      </c>
      <c r="D286" t="s">
        <v>6</v>
      </c>
      <c r="E286" t="s">
        <v>417</v>
      </c>
      <c r="F286" t="s">
        <v>11</v>
      </c>
      <c r="G286" t="s">
        <v>426</v>
      </c>
      <c r="H286" s="1">
        <v>28295</v>
      </c>
      <c r="I286" s="1" t="s">
        <v>436</v>
      </c>
      <c r="J286" t="s">
        <v>456</v>
      </c>
      <c r="K286" s="20">
        <v>79.900000000000006</v>
      </c>
      <c r="L286">
        <f ca="1">TRUNC((TODAY()-tBase[[#This Row],[Data Nascimento]])/365)</f>
        <v>48</v>
      </c>
      <c r="M286" t="str">
        <f ca="1">HLOOKUP(tBase[[#This Row],[Idade]],$O$3:$R$4,2,TRUE)</f>
        <v>44 - 54</v>
      </c>
    </row>
    <row r="287" spans="2:13">
      <c r="B287" s="19">
        <v>41852635544</v>
      </c>
      <c r="C287" t="s">
        <v>253</v>
      </c>
      <c r="D287" t="s">
        <v>5</v>
      </c>
      <c r="E287" t="s">
        <v>7</v>
      </c>
      <c r="F287" t="s">
        <v>427</v>
      </c>
      <c r="G287" t="s">
        <v>424</v>
      </c>
      <c r="H287" s="1">
        <v>29505</v>
      </c>
      <c r="I287" s="1" t="s">
        <v>436</v>
      </c>
      <c r="J287" t="s">
        <v>454</v>
      </c>
      <c r="K287" s="20">
        <v>35.9</v>
      </c>
      <c r="L287">
        <f ca="1">TRUNC((TODAY()-tBase[[#This Row],[Data Nascimento]])/365)</f>
        <v>45</v>
      </c>
      <c r="M287" t="str">
        <f ca="1">HLOOKUP(tBase[[#This Row],[Idade]],$O$3:$R$4,2,TRUE)</f>
        <v>44 - 54</v>
      </c>
    </row>
    <row r="288" spans="2:13">
      <c r="B288" s="19">
        <v>41877616889</v>
      </c>
      <c r="C288" t="s">
        <v>266</v>
      </c>
      <c r="D288" t="s">
        <v>6</v>
      </c>
      <c r="E288" t="s">
        <v>417</v>
      </c>
      <c r="F288" t="s">
        <v>13</v>
      </c>
      <c r="G288" t="s">
        <v>426</v>
      </c>
      <c r="H288" s="1">
        <v>29499</v>
      </c>
      <c r="I288" s="1" t="s">
        <v>436</v>
      </c>
      <c r="J288" t="s">
        <v>456</v>
      </c>
      <c r="K288" s="20">
        <v>79.900000000000006</v>
      </c>
      <c r="L288">
        <f ca="1">TRUNC((TODAY()-tBase[[#This Row],[Data Nascimento]])/365)</f>
        <v>45</v>
      </c>
      <c r="M288" t="str">
        <f ca="1">HLOOKUP(tBase[[#This Row],[Idade]],$O$3:$R$4,2,TRUE)</f>
        <v>44 - 54</v>
      </c>
    </row>
    <row r="289" spans="2:13">
      <c r="B289" s="19">
        <v>41899088127</v>
      </c>
      <c r="C289" t="s">
        <v>50</v>
      </c>
      <c r="D289" t="s">
        <v>5</v>
      </c>
      <c r="E289" t="s">
        <v>7</v>
      </c>
      <c r="F289" t="s">
        <v>13</v>
      </c>
      <c r="G289" t="s">
        <v>426</v>
      </c>
      <c r="H289" s="1">
        <v>33013</v>
      </c>
      <c r="I289" s="1" t="s">
        <v>436</v>
      </c>
      <c r="J289" t="s">
        <v>456</v>
      </c>
      <c r="K289" s="20">
        <v>79.900000000000006</v>
      </c>
      <c r="L289">
        <f ca="1">TRUNC((TODAY()-tBase[[#This Row],[Data Nascimento]])/365)</f>
        <v>35</v>
      </c>
      <c r="M289" t="str">
        <f ca="1">HLOOKUP(tBase[[#This Row],[Idade]],$O$3:$R$4,2,TRUE)</f>
        <v>35 - 44</v>
      </c>
    </row>
    <row r="290" spans="2:13">
      <c r="B290" s="19">
        <v>41968341445</v>
      </c>
      <c r="C290" t="s">
        <v>384</v>
      </c>
      <c r="D290" t="s">
        <v>5</v>
      </c>
      <c r="E290" t="s">
        <v>417</v>
      </c>
      <c r="F290" t="s">
        <v>13</v>
      </c>
      <c r="G290" t="s">
        <v>425</v>
      </c>
      <c r="H290" s="1">
        <v>24660</v>
      </c>
      <c r="I290" s="1" t="s">
        <v>436</v>
      </c>
      <c r="J290" t="s">
        <v>454</v>
      </c>
      <c r="K290" s="20">
        <v>35.9</v>
      </c>
      <c r="L290">
        <f ca="1">TRUNC((TODAY()-tBase[[#This Row],[Data Nascimento]])/365)</f>
        <v>58</v>
      </c>
      <c r="M290" t="str">
        <f ca="1">HLOOKUP(tBase[[#This Row],[Idade]],$O$3:$R$4,2,TRUE)</f>
        <v>54-70</v>
      </c>
    </row>
    <row r="291" spans="2:13">
      <c r="B291" s="19">
        <v>42013420174</v>
      </c>
      <c r="C291" t="s">
        <v>149</v>
      </c>
      <c r="D291" t="s">
        <v>6</v>
      </c>
      <c r="E291" t="s">
        <v>8</v>
      </c>
      <c r="F291" t="s">
        <v>427</v>
      </c>
      <c r="G291" t="s">
        <v>426</v>
      </c>
      <c r="H291" s="1">
        <v>20566</v>
      </c>
      <c r="I291" s="1" t="s">
        <v>436</v>
      </c>
      <c r="J291" t="s">
        <v>454</v>
      </c>
      <c r="K291" s="20">
        <v>35.9</v>
      </c>
      <c r="L291">
        <f ca="1">TRUNC((TODAY()-tBase[[#This Row],[Data Nascimento]])/365)</f>
        <v>69</v>
      </c>
      <c r="M291" t="str">
        <f ca="1">HLOOKUP(tBase[[#This Row],[Idade]],$O$3:$R$4,2,TRUE)</f>
        <v>54-70</v>
      </c>
    </row>
    <row r="292" spans="2:13">
      <c r="B292" s="19">
        <v>42084569981</v>
      </c>
      <c r="C292" t="s">
        <v>216</v>
      </c>
      <c r="D292" t="s">
        <v>6</v>
      </c>
      <c r="E292" t="s">
        <v>7</v>
      </c>
      <c r="F292" t="s">
        <v>13</v>
      </c>
      <c r="G292" t="s">
        <v>426</v>
      </c>
      <c r="H292" s="1">
        <v>29777</v>
      </c>
      <c r="I292" s="1" t="s">
        <v>435</v>
      </c>
      <c r="J292" t="s">
        <v>454</v>
      </c>
      <c r="K292" s="20">
        <v>35.9</v>
      </c>
      <c r="L292">
        <f ca="1">TRUNC((TODAY()-tBase[[#This Row],[Data Nascimento]])/365)</f>
        <v>44</v>
      </c>
      <c r="M292" t="str">
        <f ca="1">HLOOKUP(tBase[[#This Row],[Idade]],$O$3:$R$4,2,TRUE)</f>
        <v>44 - 54</v>
      </c>
    </row>
    <row r="293" spans="2:13">
      <c r="B293" s="19">
        <v>42110059785</v>
      </c>
      <c r="C293" t="s">
        <v>155</v>
      </c>
      <c r="D293" t="s">
        <v>6</v>
      </c>
      <c r="E293" t="s">
        <v>417</v>
      </c>
      <c r="F293" t="s">
        <v>13</v>
      </c>
      <c r="G293" t="s">
        <v>425</v>
      </c>
      <c r="H293" s="1">
        <v>28974</v>
      </c>
      <c r="I293" s="1" t="s">
        <v>433</v>
      </c>
      <c r="J293" t="s">
        <v>453</v>
      </c>
      <c r="K293" s="20">
        <v>29.9</v>
      </c>
      <c r="L293">
        <f ca="1">TRUNC((TODAY()-tBase[[#This Row],[Data Nascimento]])/365)</f>
        <v>46</v>
      </c>
      <c r="M293" t="str">
        <f ca="1">HLOOKUP(tBase[[#This Row],[Idade]],$O$3:$R$4,2,TRUE)</f>
        <v>44 - 54</v>
      </c>
    </row>
    <row r="294" spans="2:13">
      <c r="B294" s="19">
        <v>42155541132</v>
      </c>
      <c r="C294" t="s">
        <v>391</v>
      </c>
      <c r="D294" t="s">
        <v>6</v>
      </c>
      <c r="E294" t="s">
        <v>417</v>
      </c>
      <c r="F294" t="s">
        <v>12</v>
      </c>
      <c r="G294" t="s">
        <v>424</v>
      </c>
      <c r="H294" s="1">
        <v>23002</v>
      </c>
      <c r="I294" s="1" t="s">
        <v>433</v>
      </c>
      <c r="J294" t="s">
        <v>456</v>
      </c>
      <c r="K294" s="20">
        <v>79.900000000000006</v>
      </c>
      <c r="L294">
        <f ca="1">TRUNC((TODAY()-tBase[[#This Row],[Data Nascimento]])/365)</f>
        <v>63</v>
      </c>
      <c r="M294" t="str">
        <f ca="1">HLOOKUP(tBase[[#This Row],[Idade]],$O$3:$R$4,2,TRUE)</f>
        <v>54-70</v>
      </c>
    </row>
    <row r="295" spans="2:13">
      <c r="B295" s="19">
        <v>42224635144</v>
      </c>
      <c r="C295" t="s">
        <v>282</v>
      </c>
      <c r="D295" t="s">
        <v>6</v>
      </c>
      <c r="E295" t="s">
        <v>8</v>
      </c>
      <c r="F295" t="s">
        <v>11</v>
      </c>
      <c r="G295" t="s">
        <v>424</v>
      </c>
      <c r="H295" s="1">
        <v>22394</v>
      </c>
      <c r="I295" s="1" t="s">
        <v>433</v>
      </c>
      <c r="J295" t="s">
        <v>456</v>
      </c>
      <c r="K295" s="20">
        <v>79.900000000000006</v>
      </c>
      <c r="L295">
        <f ca="1">TRUNC((TODAY()-tBase[[#This Row],[Data Nascimento]])/365)</f>
        <v>64</v>
      </c>
      <c r="M295" t="str">
        <f ca="1">HLOOKUP(tBase[[#This Row],[Idade]],$O$3:$R$4,2,TRUE)</f>
        <v>54-70</v>
      </c>
    </row>
    <row r="296" spans="2:13">
      <c r="B296" s="19">
        <v>42314907630</v>
      </c>
      <c r="C296" t="s">
        <v>224</v>
      </c>
      <c r="D296" t="s">
        <v>6</v>
      </c>
      <c r="E296" t="s">
        <v>417</v>
      </c>
      <c r="F296" t="s">
        <v>13</v>
      </c>
      <c r="G296" t="s">
        <v>425</v>
      </c>
      <c r="H296" s="1">
        <v>31551</v>
      </c>
      <c r="I296" s="1" t="s">
        <v>433</v>
      </c>
      <c r="J296" t="s">
        <v>453</v>
      </c>
      <c r="K296" s="20">
        <v>29.9</v>
      </c>
      <c r="L296">
        <f ca="1">TRUNC((TODAY()-tBase[[#This Row],[Data Nascimento]])/365)</f>
        <v>39</v>
      </c>
      <c r="M296" t="str">
        <f ca="1">HLOOKUP(tBase[[#This Row],[Idade]],$O$3:$R$4,2,TRUE)</f>
        <v>35 - 44</v>
      </c>
    </row>
    <row r="297" spans="2:13">
      <c r="B297" s="19">
        <v>42346270511</v>
      </c>
      <c r="C297" t="s">
        <v>71</v>
      </c>
      <c r="D297" t="s">
        <v>5</v>
      </c>
      <c r="E297" t="s">
        <v>417</v>
      </c>
      <c r="F297" t="s">
        <v>427</v>
      </c>
      <c r="G297" t="s">
        <v>424</v>
      </c>
      <c r="H297" s="1">
        <v>30254</v>
      </c>
      <c r="I297" s="1" t="s">
        <v>433</v>
      </c>
      <c r="J297" t="s">
        <v>453</v>
      </c>
      <c r="K297" s="20">
        <v>29.9</v>
      </c>
      <c r="L297">
        <f ca="1">TRUNC((TODAY()-tBase[[#This Row],[Data Nascimento]])/365)</f>
        <v>43</v>
      </c>
      <c r="M297" t="str">
        <f ca="1">HLOOKUP(tBase[[#This Row],[Idade]],$O$3:$R$4,2,TRUE)</f>
        <v>35 - 44</v>
      </c>
    </row>
    <row r="298" spans="2:13">
      <c r="B298" s="19">
        <v>42400046505</v>
      </c>
      <c r="C298" t="s">
        <v>154</v>
      </c>
      <c r="D298" t="s">
        <v>6</v>
      </c>
      <c r="E298" t="s">
        <v>417</v>
      </c>
      <c r="F298" t="s">
        <v>14</v>
      </c>
      <c r="G298" t="s">
        <v>425</v>
      </c>
      <c r="H298" s="1">
        <v>27985</v>
      </c>
      <c r="I298" s="1" t="s">
        <v>430</v>
      </c>
      <c r="J298" t="s">
        <v>453</v>
      </c>
      <c r="K298" s="20">
        <v>29.9</v>
      </c>
      <c r="L298">
        <f ca="1">TRUNC((TODAY()-tBase[[#This Row],[Data Nascimento]])/365)</f>
        <v>49</v>
      </c>
      <c r="M298" t="str">
        <f ca="1">HLOOKUP(tBase[[#This Row],[Idade]],$O$3:$R$4,2,TRUE)</f>
        <v>44 - 54</v>
      </c>
    </row>
    <row r="299" spans="2:13">
      <c r="B299" s="19">
        <v>42434329390</v>
      </c>
      <c r="C299" t="s">
        <v>308</v>
      </c>
      <c r="D299" t="s">
        <v>6</v>
      </c>
      <c r="E299" t="s">
        <v>416</v>
      </c>
      <c r="F299" t="s">
        <v>13</v>
      </c>
      <c r="G299" t="s">
        <v>425</v>
      </c>
      <c r="H299" s="1">
        <v>24058</v>
      </c>
      <c r="I299" s="1" t="s">
        <v>429</v>
      </c>
      <c r="J299" t="s">
        <v>455</v>
      </c>
      <c r="K299" s="20">
        <v>9.9</v>
      </c>
      <c r="L299">
        <f ca="1">TRUNC((TODAY()-tBase[[#This Row],[Data Nascimento]])/365)</f>
        <v>60</v>
      </c>
      <c r="M299" t="str">
        <f ca="1">HLOOKUP(tBase[[#This Row],[Idade]],$O$3:$R$4,2,TRUE)</f>
        <v>54-70</v>
      </c>
    </row>
    <row r="300" spans="2:13">
      <c r="B300" s="19">
        <v>42460611185</v>
      </c>
      <c r="C300" t="s">
        <v>394</v>
      </c>
      <c r="D300" t="s">
        <v>5</v>
      </c>
      <c r="E300" t="s">
        <v>417</v>
      </c>
      <c r="F300" t="s">
        <v>14</v>
      </c>
      <c r="G300" t="s">
        <v>425</v>
      </c>
      <c r="H300" s="1">
        <v>24908</v>
      </c>
      <c r="I300" s="1" t="s">
        <v>431</v>
      </c>
      <c r="J300" t="s">
        <v>453</v>
      </c>
      <c r="K300" s="20">
        <v>29.9</v>
      </c>
      <c r="L300">
        <f ca="1">TRUNC((TODAY()-tBase[[#This Row],[Data Nascimento]])/365)</f>
        <v>57</v>
      </c>
      <c r="M300" t="str">
        <f ca="1">HLOOKUP(tBase[[#This Row],[Idade]],$O$3:$R$4,2,TRUE)</f>
        <v>54-70</v>
      </c>
    </row>
    <row r="301" spans="2:13">
      <c r="B301" s="19">
        <v>42658139379</v>
      </c>
      <c r="C301" t="s">
        <v>294</v>
      </c>
      <c r="D301" t="s">
        <v>6</v>
      </c>
      <c r="E301" t="s">
        <v>417</v>
      </c>
      <c r="F301" t="s">
        <v>11</v>
      </c>
      <c r="G301" t="s">
        <v>425</v>
      </c>
      <c r="H301" s="1">
        <v>32770</v>
      </c>
      <c r="I301" s="1" t="s">
        <v>432</v>
      </c>
      <c r="J301" t="s">
        <v>456</v>
      </c>
      <c r="K301" s="20">
        <v>79.900000000000006</v>
      </c>
      <c r="L301">
        <f ca="1">TRUNC((TODAY()-tBase[[#This Row],[Data Nascimento]])/365)</f>
        <v>36</v>
      </c>
      <c r="M301" t="str">
        <f ca="1">HLOOKUP(tBase[[#This Row],[Idade]],$O$3:$R$4,2,TRUE)</f>
        <v>35 - 44</v>
      </c>
    </row>
    <row r="302" spans="2:13">
      <c r="B302" s="19">
        <v>42678380444</v>
      </c>
      <c r="C302" t="s">
        <v>246</v>
      </c>
      <c r="D302" t="s">
        <v>6</v>
      </c>
      <c r="E302" t="s">
        <v>417</v>
      </c>
      <c r="F302" t="s">
        <v>11</v>
      </c>
      <c r="G302" t="s">
        <v>426</v>
      </c>
      <c r="H302" s="1">
        <v>28309</v>
      </c>
      <c r="I302" s="1" t="s">
        <v>434</v>
      </c>
      <c r="J302" t="s">
        <v>456</v>
      </c>
      <c r="K302" s="20">
        <v>79.900000000000006</v>
      </c>
      <c r="L302">
        <f ca="1">TRUNC((TODAY()-tBase[[#This Row],[Data Nascimento]])/365)</f>
        <v>48</v>
      </c>
      <c r="M302" t="str">
        <f ca="1">HLOOKUP(tBase[[#This Row],[Idade]],$O$3:$R$4,2,TRUE)</f>
        <v>44 - 54</v>
      </c>
    </row>
    <row r="303" spans="2:13">
      <c r="B303" s="19">
        <v>42680912819</v>
      </c>
      <c r="C303" t="s">
        <v>265</v>
      </c>
      <c r="D303" t="s">
        <v>5</v>
      </c>
      <c r="E303" t="s">
        <v>7</v>
      </c>
      <c r="F303" t="s">
        <v>12</v>
      </c>
      <c r="G303" t="s">
        <v>425</v>
      </c>
      <c r="H303" s="1">
        <v>27457</v>
      </c>
      <c r="I303" s="1" t="s">
        <v>430</v>
      </c>
      <c r="J303" t="s">
        <v>454</v>
      </c>
      <c r="K303" s="20">
        <v>35.9</v>
      </c>
      <c r="L303">
        <f ca="1">TRUNC((TODAY()-tBase[[#This Row],[Data Nascimento]])/365)</f>
        <v>50</v>
      </c>
      <c r="M303" t="str">
        <f ca="1">HLOOKUP(tBase[[#This Row],[Idade]],$O$3:$R$4,2,TRUE)</f>
        <v>44 - 54</v>
      </c>
    </row>
    <row r="304" spans="2:13">
      <c r="B304" s="19">
        <v>42735692164</v>
      </c>
      <c r="C304" t="s">
        <v>69</v>
      </c>
      <c r="D304" t="s">
        <v>6</v>
      </c>
      <c r="E304" t="s">
        <v>8</v>
      </c>
      <c r="F304" t="s">
        <v>427</v>
      </c>
      <c r="G304" t="s">
        <v>426</v>
      </c>
      <c r="H304" s="1">
        <v>34699</v>
      </c>
      <c r="I304" s="1" t="s">
        <v>435</v>
      </c>
      <c r="J304" t="s">
        <v>455</v>
      </c>
      <c r="K304" s="20">
        <v>9.9</v>
      </c>
      <c r="L304">
        <f ca="1">TRUNC((TODAY()-tBase[[#This Row],[Data Nascimento]])/365)</f>
        <v>31</v>
      </c>
      <c r="M304" t="str">
        <f ca="1">HLOOKUP(tBase[[#This Row],[Idade]],$O$3:$R$4,2,TRUE)</f>
        <v>24-34</v>
      </c>
    </row>
    <row r="305" spans="2:13">
      <c r="B305" s="19">
        <v>42745218846</v>
      </c>
      <c r="C305" t="s">
        <v>133</v>
      </c>
      <c r="D305" t="s">
        <v>6</v>
      </c>
      <c r="E305" t="s">
        <v>7</v>
      </c>
      <c r="F305" t="s">
        <v>427</v>
      </c>
      <c r="G305" t="s">
        <v>424</v>
      </c>
      <c r="H305" s="1">
        <v>28738</v>
      </c>
      <c r="I305" s="1" t="s">
        <v>436</v>
      </c>
      <c r="J305" t="s">
        <v>454</v>
      </c>
      <c r="K305" s="20">
        <v>35.9</v>
      </c>
      <c r="L305">
        <f ca="1">TRUNC((TODAY()-tBase[[#This Row],[Data Nascimento]])/365)</f>
        <v>47</v>
      </c>
      <c r="M305" t="str">
        <f ca="1">HLOOKUP(tBase[[#This Row],[Idade]],$O$3:$R$4,2,TRUE)</f>
        <v>44 - 54</v>
      </c>
    </row>
    <row r="306" spans="2:13">
      <c r="B306" s="19">
        <v>42808465160</v>
      </c>
      <c r="C306" t="s">
        <v>125</v>
      </c>
      <c r="D306" t="s">
        <v>6</v>
      </c>
      <c r="E306" t="s">
        <v>7</v>
      </c>
      <c r="F306" t="s">
        <v>427</v>
      </c>
      <c r="G306" t="s">
        <v>425</v>
      </c>
      <c r="H306" s="1">
        <v>26186</v>
      </c>
      <c r="I306" s="1" t="s">
        <v>430</v>
      </c>
      <c r="J306" t="s">
        <v>454</v>
      </c>
      <c r="K306" s="20">
        <v>35.9</v>
      </c>
      <c r="L306">
        <f ca="1">TRUNC((TODAY()-tBase[[#This Row],[Data Nascimento]])/365)</f>
        <v>54</v>
      </c>
      <c r="M306" t="str">
        <f ca="1">HLOOKUP(tBase[[#This Row],[Idade]],$O$3:$R$4,2,TRUE)</f>
        <v>54-70</v>
      </c>
    </row>
    <row r="307" spans="2:13">
      <c r="B307" s="19">
        <v>42864213763</v>
      </c>
      <c r="C307" t="s">
        <v>273</v>
      </c>
      <c r="D307" t="s">
        <v>5</v>
      </c>
      <c r="E307" t="s">
        <v>7</v>
      </c>
      <c r="F307" t="s">
        <v>427</v>
      </c>
      <c r="G307" t="s">
        <v>424</v>
      </c>
      <c r="H307" s="1">
        <v>32466</v>
      </c>
      <c r="I307" s="1" t="s">
        <v>435</v>
      </c>
      <c r="J307" t="s">
        <v>455</v>
      </c>
      <c r="K307" s="20">
        <v>9.9</v>
      </c>
      <c r="L307">
        <f ca="1">TRUNC((TODAY()-tBase[[#This Row],[Data Nascimento]])/365)</f>
        <v>37</v>
      </c>
      <c r="M307" t="str">
        <f ca="1">HLOOKUP(tBase[[#This Row],[Idade]],$O$3:$R$4,2,TRUE)</f>
        <v>35 - 44</v>
      </c>
    </row>
    <row r="308" spans="2:13">
      <c r="B308" s="19">
        <v>42955842741</v>
      </c>
      <c r="C308" t="s">
        <v>291</v>
      </c>
      <c r="D308" t="s">
        <v>5</v>
      </c>
      <c r="E308" t="s">
        <v>416</v>
      </c>
      <c r="F308" t="s">
        <v>9</v>
      </c>
      <c r="G308" t="s">
        <v>424</v>
      </c>
      <c r="H308" s="1">
        <v>26653</v>
      </c>
      <c r="I308" s="1" t="s">
        <v>436</v>
      </c>
      <c r="J308" t="s">
        <v>455</v>
      </c>
      <c r="K308" s="20">
        <v>9.9</v>
      </c>
      <c r="L308">
        <f ca="1">TRUNC((TODAY()-tBase[[#This Row],[Data Nascimento]])/365)</f>
        <v>53</v>
      </c>
      <c r="M308" t="str">
        <f ca="1">HLOOKUP(tBase[[#This Row],[Idade]],$O$3:$R$4,2,TRUE)</f>
        <v>44 - 54</v>
      </c>
    </row>
    <row r="309" spans="2:13">
      <c r="B309" s="19">
        <v>42981421778</v>
      </c>
      <c r="C309" t="s">
        <v>298</v>
      </c>
      <c r="D309" t="s">
        <v>5</v>
      </c>
      <c r="E309" t="s">
        <v>417</v>
      </c>
      <c r="F309" t="s">
        <v>14</v>
      </c>
      <c r="G309" t="s">
        <v>426</v>
      </c>
      <c r="H309" s="1">
        <v>32563</v>
      </c>
      <c r="I309" s="1" t="s">
        <v>433</v>
      </c>
      <c r="J309" t="s">
        <v>453</v>
      </c>
      <c r="K309" s="20">
        <v>29.9</v>
      </c>
      <c r="L309">
        <f ca="1">TRUNC((TODAY()-tBase[[#This Row],[Data Nascimento]])/365)</f>
        <v>36</v>
      </c>
      <c r="M309" t="str">
        <f ca="1">HLOOKUP(tBase[[#This Row],[Idade]],$O$3:$R$4,2,TRUE)</f>
        <v>35 - 44</v>
      </c>
    </row>
    <row r="310" spans="2:13">
      <c r="B310" s="19">
        <v>43001444003</v>
      </c>
      <c r="C310" t="s">
        <v>176</v>
      </c>
      <c r="D310" t="s">
        <v>6</v>
      </c>
      <c r="E310" t="s">
        <v>7</v>
      </c>
      <c r="F310" t="s">
        <v>13</v>
      </c>
      <c r="G310" t="s">
        <v>426</v>
      </c>
      <c r="H310" s="1">
        <v>25444</v>
      </c>
      <c r="I310" s="1" t="s">
        <v>433</v>
      </c>
      <c r="J310" t="s">
        <v>453</v>
      </c>
      <c r="K310" s="20">
        <v>29.9</v>
      </c>
      <c r="L310">
        <f ca="1">TRUNC((TODAY()-tBase[[#This Row],[Data Nascimento]])/365)</f>
        <v>56</v>
      </c>
      <c r="M310" t="str">
        <f ca="1">HLOOKUP(tBase[[#This Row],[Idade]],$O$3:$R$4,2,TRUE)</f>
        <v>54-70</v>
      </c>
    </row>
    <row r="311" spans="2:13">
      <c r="B311" s="19">
        <v>43008928497</v>
      </c>
      <c r="C311" t="s">
        <v>278</v>
      </c>
      <c r="D311" t="s">
        <v>6</v>
      </c>
      <c r="E311" t="s">
        <v>417</v>
      </c>
      <c r="F311" t="s">
        <v>13</v>
      </c>
      <c r="G311" t="s">
        <v>426</v>
      </c>
      <c r="H311" s="1">
        <v>32097</v>
      </c>
      <c r="I311" s="1" t="s">
        <v>433</v>
      </c>
      <c r="J311" t="s">
        <v>455</v>
      </c>
      <c r="K311" s="20">
        <v>9.9</v>
      </c>
      <c r="L311">
        <f ca="1">TRUNC((TODAY()-tBase[[#This Row],[Data Nascimento]])/365)</f>
        <v>38</v>
      </c>
      <c r="M311" t="str">
        <f ca="1">HLOOKUP(tBase[[#This Row],[Idade]],$O$3:$R$4,2,TRUE)</f>
        <v>35 - 44</v>
      </c>
    </row>
    <row r="312" spans="2:13">
      <c r="B312" s="19">
        <v>43118591455</v>
      </c>
      <c r="C312" t="s">
        <v>290</v>
      </c>
      <c r="D312" t="s">
        <v>6</v>
      </c>
      <c r="E312" t="s">
        <v>7</v>
      </c>
      <c r="F312" t="s">
        <v>13</v>
      </c>
      <c r="G312" t="s">
        <v>426</v>
      </c>
      <c r="H312" s="1">
        <v>25014</v>
      </c>
      <c r="I312" s="1" t="s">
        <v>433</v>
      </c>
      <c r="J312" t="s">
        <v>456</v>
      </c>
      <c r="K312" s="20">
        <v>79.900000000000006</v>
      </c>
      <c r="L312">
        <f ca="1">TRUNC((TODAY()-tBase[[#This Row],[Data Nascimento]])/365)</f>
        <v>57</v>
      </c>
      <c r="M312" t="str">
        <f ca="1">HLOOKUP(tBase[[#This Row],[Idade]],$O$3:$R$4,2,TRUE)</f>
        <v>54-70</v>
      </c>
    </row>
    <row r="313" spans="2:13">
      <c r="B313" s="19">
        <v>43245355006</v>
      </c>
      <c r="C313" t="s">
        <v>144</v>
      </c>
      <c r="D313" t="s">
        <v>6</v>
      </c>
      <c r="E313" t="s">
        <v>417</v>
      </c>
      <c r="F313" t="s">
        <v>13</v>
      </c>
      <c r="G313" t="s">
        <v>425</v>
      </c>
      <c r="H313" s="1">
        <v>34539</v>
      </c>
      <c r="I313" s="1" t="s">
        <v>433</v>
      </c>
      <c r="J313" t="s">
        <v>454</v>
      </c>
      <c r="K313" s="20">
        <v>35.9</v>
      </c>
      <c r="L313">
        <f ca="1">TRUNC((TODAY()-tBase[[#This Row],[Data Nascimento]])/365)</f>
        <v>31</v>
      </c>
      <c r="M313" t="str">
        <f ca="1">HLOOKUP(tBase[[#This Row],[Idade]],$O$3:$R$4,2,TRUE)</f>
        <v>24-34</v>
      </c>
    </row>
    <row r="314" spans="2:13">
      <c r="B314" s="19">
        <v>43251240742</v>
      </c>
      <c r="C314" t="s">
        <v>201</v>
      </c>
      <c r="D314" t="s">
        <v>5</v>
      </c>
      <c r="E314" t="s">
        <v>417</v>
      </c>
      <c r="F314" t="s">
        <v>427</v>
      </c>
      <c r="G314" t="s">
        <v>425</v>
      </c>
      <c r="H314" s="1">
        <v>27285</v>
      </c>
      <c r="I314" s="1" t="s">
        <v>433</v>
      </c>
      <c r="J314" t="s">
        <v>455</v>
      </c>
      <c r="K314" s="20">
        <v>9.9</v>
      </c>
      <c r="L314">
        <f ca="1">TRUNC((TODAY()-tBase[[#This Row],[Data Nascimento]])/365)</f>
        <v>51</v>
      </c>
      <c r="M314" t="str">
        <f ca="1">HLOOKUP(tBase[[#This Row],[Idade]],$O$3:$R$4,2,TRUE)</f>
        <v>44 - 54</v>
      </c>
    </row>
    <row r="315" spans="2:13">
      <c r="B315" s="19">
        <v>43251978310</v>
      </c>
      <c r="C315" t="s">
        <v>305</v>
      </c>
      <c r="D315" t="s">
        <v>6</v>
      </c>
      <c r="E315" t="s">
        <v>7</v>
      </c>
      <c r="F315" t="s">
        <v>427</v>
      </c>
      <c r="G315" t="s">
        <v>425</v>
      </c>
      <c r="H315" s="1">
        <v>27466</v>
      </c>
      <c r="I315" s="1" t="s">
        <v>433</v>
      </c>
      <c r="J315" t="s">
        <v>454</v>
      </c>
      <c r="K315" s="20">
        <v>35.9</v>
      </c>
      <c r="L315">
        <f ca="1">TRUNC((TODAY()-tBase[[#This Row],[Data Nascimento]])/365)</f>
        <v>50</v>
      </c>
      <c r="M315" t="str">
        <f ca="1">HLOOKUP(tBase[[#This Row],[Idade]],$O$3:$R$4,2,TRUE)</f>
        <v>44 - 54</v>
      </c>
    </row>
    <row r="316" spans="2:13">
      <c r="B316" s="19">
        <v>43308815311</v>
      </c>
      <c r="C316" t="s">
        <v>84</v>
      </c>
      <c r="D316" t="s">
        <v>5</v>
      </c>
      <c r="E316" t="s">
        <v>418</v>
      </c>
      <c r="F316" t="s">
        <v>13</v>
      </c>
      <c r="G316" t="s">
        <v>425</v>
      </c>
      <c r="H316" s="1">
        <v>22517</v>
      </c>
      <c r="I316" s="1" t="s">
        <v>433</v>
      </c>
      <c r="J316" t="s">
        <v>455</v>
      </c>
      <c r="K316" s="20">
        <v>9.9</v>
      </c>
      <c r="L316">
        <f ca="1">TRUNC((TODAY()-tBase[[#This Row],[Data Nascimento]])/365)</f>
        <v>64</v>
      </c>
      <c r="M316" t="str">
        <f ca="1">HLOOKUP(tBase[[#This Row],[Idade]],$O$3:$R$4,2,TRUE)</f>
        <v>54-70</v>
      </c>
    </row>
    <row r="317" spans="2:13">
      <c r="B317" s="19">
        <v>43329901726</v>
      </c>
      <c r="C317" t="s">
        <v>81</v>
      </c>
      <c r="D317" t="s">
        <v>6</v>
      </c>
      <c r="E317" t="s">
        <v>417</v>
      </c>
      <c r="F317" t="s">
        <v>427</v>
      </c>
      <c r="G317" t="s">
        <v>425</v>
      </c>
      <c r="H317" s="1">
        <v>24537</v>
      </c>
      <c r="I317" s="1" t="s">
        <v>433</v>
      </c>
      <c r="J317" t="s">
        <v>455</v>
      </c>
      <c r="K317" s="20">
        <v>9.9</v>
      </c>
      <c r="L317">
        <f ca="1">TRUNC((TODAY()-tBase[[#This Row],[Data Nascimento]])/365)</f>
        <v>58</v>
      </c>
      <c r="M317" t="str">
        <f ca="1">HLOOKUP(tBase[[#This Row],[Idade]],$O$3:$R$4,2,TRUE)</f>
        <v>54-70</v>
      </c>
    </row>
    <row r="318" spans="2:13">
      <c r="B318" s="19">
        <v>43349394419</v>
      </c>
      <c r="C318" t="s">
        <v>227</v>
      </c>
      <c r="D318" t="s">
        <v>5</v>
      </c>
      <c r="E318" t="s">
        <v>7</v>
      </c>
      <c r="F318" t="s">
        <v>13</v>
      </c>
      <c r="G318" t="s">
        <v>425</v>
      </c>
      <c r="H318" s="1">
        <v>21824</v>
      </c>
      <c r="I318" s="1" t="s">
        <v>429</v>
      </c>
      <c r="J318" t="s">
        <v>453</v>
      </c>
      <c r="K318" s="20">
        <v>29.9</v>
      </c>
      <c r="L318">
        <f ca="1">TRUNC((TODAY()-tBase[[#This Row],[Data Nascimento]])/365)</f>
        <v>66</v>
      </c>
      <c r="M318" t="str">
        <f ca="1">HLOOKUP(tBase[[#This Row],[Idade]],$O$3:$R$4,2,TRUE)</f>
        <v>54-70</v>
      </c>
    </row>
    <row r="319" spans="2:13">
      <c r="B319" s="19">
        <v>43353453212</v>
      </c>
      <c r="C319" t="s">
        <v>376</v>
      </c>
      <c r="D319" t="s">
        <v>5</v>
      </c>
      <c r="E319" t="s">
        <v>7</v>
      </c>
      <c r="F319" t="s">
        <v>14</v>
      </c>
      <c r="G319" t="s">
        <v>426</v>
      </c>
      <c r="H319" s="1">
        <v>21970</v>
      </c>
      <c r="I319" s="1" t="s">
        <v>432</v>
      </c>
      <c r="J319" t="s">
        <v>455</v>
      </c>
      <c r="K319" s="20">
        <v>9.9</v>
      </c>
      <c r="L319">
        <f ca="1">TRUNC((TODAY()-tBase[[#This Row],[Data Nascimento]])/365)</f>
        <v>65</v>
      </c>
      <c r="M319" t="str">
        <f ca="1">HLOOKUP(tBase[[#This Row],[Idade]],$O$3:$R$4,2,TRUE)</f>
        <v>54-70</v>
      </c>
    </row>
    <row r="320" spans="2:13">
      <c r="B320" s="19">
        <v>43449469621</v>
      </c>
      <c r="C320" t="s">
        <v>130</v>
      </c>
      <c r="D320" t="s">
        <v>6</v>
      </c>
      <c r="E320" t="s">
        <v>7</v>
      </c>
      <c r="F320" t="s">
        <v>14</v>
      </c>
      <c r="G320" t="s">
        <v>426</v>
      </c>
      <c r="H320" s="1">
        <v>25723</v>
      </c>
      <c r="I320" s="1" t="s">
        <v>436</v>
      </c>
      <c r="J320" t="s">
        <v>453</v>
      </c>
      <c r="K320" s="20">
        <v>29.9</v>
      </c>
      <c r="L320">
        <f ca="1">TRUNC((TODAY()-tBase[[#This Row],[Data Nascimento]])/365)</f>
        <v>55</v>
      </c>
      <c r="M320" t="str">
        <f ca="1">HLOOKUP(tBase[[#This Row],[Idade]],$O$3:$R$4,2,TRUE)</f>
        <v>54-70</v>
      </c>
    </row>
    <row r="321" spans="2:13">
      <c r="B321" s="19">
        <v>43512417125</v>
      </c>
      <c r="C321" t="s">
        <v>56</v>
      </c>
      <c r="D321" t="s">
        <v>5</v>
      </c>
      <c r="E321" t="s">
        <v>7</v>
      </c>
      <c r="F321" t="s">
        <v>13</v>
      </c>
      <c r="G321" t="s">
        <v>425</v>
      </c>
      <c r="H321" s="1">
        <v>26300</v>
      </c>
      <c r="I321" s="1" t="s">
        <v>436</v>
      </c>
      <c r="J321" t="s">
        <v>453</v>
      </c>
      <c r="K321" s="20">
        <v>29.9</v>
      </c>
      <c r="L321">
        <f ca="1">TRUNC((TODAY()-tBase[[#This Row],[Data Nascimento]])/365)</f>
        <v>54</v>
      </c>
      <c r="M321" t="str">
        <f ca="1">HLOOKUP(tBase[[#This Row],[Idade]],$O$3:$R$4,2,TRUE)</f>
        <v>54-70</v>
      </c>
    </row>
    <row r="322" spans="2:13">
      <c r="B322" s="19">
        <v>43690634952</v>
      </c>
      <c r="C322" t="s">
        <v>179</v>
      </c>
      <c r="D322" t="s">
        <v>5</v>
      </c>
      <c r="E322" t="s">
        <v>8</v>
      </c>
      <c r="F322" t="s">
        <v>13</v>
      </c>
      <c r="G322" t="s">
        <v>425</v>
      </c>
      <c r="H322" s="1">
        <v>20978</v>
      </c>
      <c r="I322" s="1" t="s">
        <v>436</v>
      </c>
      <c r="J322" t="s">
        <v>453</v>
      </c>
      <c r="K322" s="20">
        <v>29.9</v>
      </c>
      <c r="L322">
        <f ca="1">TRUNC((TODAY()-tBase[[#This Row],[Data Nascimento]])/365)</f>
        <v>68</v>
      </c>
      <c r="M322" t="str">
        <f ca="1">HLOOKUP(tBase[[#This Row],[Idade]],$O$3:$R$4,2,TRUE)</f>
        <v>54-70</v>
      </c>
    </row>
    <row r="323" spans="2:13">
      <c r="B323" s="19">
        <v>43739297869</v>
      </c>
      <c r="C323" t="s">
        <v>33</v>
      </c>
      <c r="D323" t="s">
        <v>6</v>
      </c>
      <c r="E323" t="s">
        <v>7</v>
      </c>
      <c r="F323" t="s">
        <v>427</v>
      </c>
      <c r="G323" t="s">
        <v>424</v>
      </c>
      <c r="H323" s="1">
        <v>34238</v>
      </c>
      <c r="I323" s="1" t="s">
        <v>436</v>
      </c>
      <c r="J323" t="s">
        <v>455</v>
      </c>
      <c r="K323" s="20">
        <v>9.9</v>
      </c>
      <c r="L323">
        <f ca="1">TRUNC((TODAY()-tBase[[#This Row],[Data Nascimento]])/365)</f>
        <v>32</v>
      </c>
      <c r="M323" t="str">
        <f ca="1">HLOOKUP(tBase[[#This Row],[Idade]],$O$3:$R$4,2,TRUE)</f>
        <v>24-34</v>
      </c>
    </row>
    <row r="324" spans="2:13">
      <c r="B324" s="19">
        <v>43743382226</v>
      </c>
      <c r="C324" t="s">
        <v>335</v>
      </c>
      <c r="D324" t="s">
        <v>5</v>
      </c>
      <c r="E324" t="s">
        <v>417</v>
      </c>
      <c r="F324" t="s">
        <v>427</v>
      </c>
      <c r="G324" t="s">
        <v>425</v>
      </c>
      <c r="H324" s="1">
        <v>33082</v>
      </c>
      <c r="I324" s="1" t="s">
        <v>436</v>
      </c>
      <c r="J324" t="s">
        <v>453</v>
      </c>
      <c r="K324" s="20">
        <v>29.9</v>
      </c>
      <c r="L324">
        <f ca="1">TRUNC((TODAY()-tBase[[#This Row],[Data Nascimento]])/365)</f>
        <v>35</v>
      </c>
      <c r="M324" t="str">
        <f ca="1">HLOOKUP(tBase[[#This Row],[Idade]],$O$3:$R$4,2,TRUE)</f>
        <v>35 - 44</v>
      </c>
    </row>
    <row r="325" spans="2:13">
      <c r="B325" s="19">
        <v>43809437545</v>
      </c>
      <c r="C325" t="s">
        <v>281</v>
      </c>
      <c r="D325" t="s">
        <v>5</v>
      </c>
      <c r="E325" t="s">
        <v>417</v>
      </c>
      <c r="F325" t="s">
        <v>427</v>
      </c>
      <c r="G325" t="s">
        <v>425</v>
      </c>
      <c r="H325" s="1">
        <v>26747</v>
      </c>
      <c r="I325" s="1" t="s">
        <v>436</v>
      </c>
      <c r="J325" t="s">
        <v>454</v>
      </c>
      <c r="K325" s="20">
        <v>35.9</v>
      </c>
      <c r="L325">
        <f ca="1">TRUNC((TODAY()-tBase[[#This Row],[Data Nascimento]])/365)</f>
        <v>52</v>
      </c>
      <c r="M325" t="str">
        <f ca="1">HLOOKUP(tBase[[#This Row],[Idade]],$O$3:$R$4,2,TRUE)</f>
        <v>44 - 54</v>
      </c>
    </row>
    <row r="326" spans="2:13">
      <c r="B326" s="19">
        <v>43862516707</v>
      </c>
      <c r="C326" t="s">
        <v>235</v>
      </c>
      <c r="D326" t="s">
        <v>6</v>
      </c>
      <c r="E326" t="s">
        <v>417</v>
      </c>
      <c r="F326" t="s">
        <v>12</v>
      </c>
      <c r="G326" t="s">
        <v>425</v>
      </c>
      <c r="H326" s="1">
        <v>25404</v>
      </c>
      <c r="I326" s="1" t="s">
        <v>435</v>
      </c>
      <c r="J326" t="s">
        <v>455</v>
      </c>
      <c r="K326" s="20">
        <v>9.9</v>
      </c>
      <c r="L326">
        <f ca="1">TRUNC((TODAY()-tBase[[#This Row],[Data Nascimento]])/365)</f>
        <v>56</v>
      </c>
      <c r="M326" t="str">
        <f ca="1">HLOOKUP(tBase[[#This Row],[Idade]],$O$3:$R$4,2,TRUE)</f>
        <v>54-70</v>
      </c>
    </row>
    <row r="327" spans="2:13">
      <c r="B327" s="19">
        <v>43865627349</v>
      </c>
      <c r="C327" t="s">
        <v>86</v>
      </c>
      <c r="D327" t="s">
        <v>5</v>
      </c>
      <c r="E327" t="s">
        <v>417</v>
      </c>
      <c r="F327" t="s">
        <v>13</v>
      </c>
      <c r="G327" t="s">
        <v>426</v>
      </c>
      <c r="H327" s="1">
        <v>29875</v>
      </c>
      <c r="I327" s="1" t="s">
        <v>433</v>
      </c>
      <c r="J327" t="s">
        <v>455</v>
      </c>
      <c r="K327" s="20">
        <v>9.9</v>
      </c>
      <c r="L327">
        <f ca="1">TRUNC((TODAY()-tBase[[#This Row],[Data Nascimento]])/365)</f>
        <v>44</v>
      </c>
      <c r="M327" t="str">
        <f ca="1">HLOOKUP(tBase[[#This Row],[Idade]],$O$3:$R$4,2,TRUE)</f>
        <v>44 - 54</v>
      </c>
    </row>
    <row r="328" spans="2:13">
      <c r="B328" s="19">
        <v>43955177890</v>
      </c>
      <c r="C328" t="s">
        <v>165</v>
      </c>
      <c r="D328" t="s">
        <v>5</v>
      </c>
      <c r="E328" t="s">
        <v>7</v>
      </c>
      <c r="F328" t="s">
        <v>427</v>
      </c>
      <c r="G328" t="s">
        <v>425</v>
      </c>
      <c r="H328" s="1">
        <v>27565</v>
      </c>
      <c r="I328" s="1" t="s">
        <v>433</v>
      </c>
      <c r="J328" t="s">
        <v>455</v>
      </c>
      <c r="K328" s="20">
        <v>9.9</v>
      </c>
      <c r="L328">
        <f ca="1">TRUNC((TODAY()-tBase[[#This Row],[Data Nascimento]])/365)</f>
        <v>50</v>
      </c>
      <c r="M328" t="str">
        <f ca="1">HLOOKUP(tBase[[#This Row],[Idade]],$O$3:$R$4,2,TRUE)</f>
        <v>44 - 54</v>
      </c>
    </row>
    <row r="329" spans="2:13">
      <c r="B329" s="19">
        <v>43990474257</v>
      </c>
      <c r="C329" t="s">
        <v>142</v>
      </c>
      <c r="D329" t="s">
        <v>6</v>
      </c>
      <c r="E329" t="s">
        <v>8</v>
      </c>
      <c r="F329" t="s">
        <v>427</v>
      </c>
      <c r="G329" t="s">
        <v>424</v>
      </c>
      <c r="H329" s="1">
        <v>28750</v>
      </c>
      <c r="I329" s="1" t="s">
        <v>433</v>
      </c>
      <c r="J329" t="s">
        <v>453</v>
      </c>
      <c r="K329" s="20">
        <v>29.9</v>
      </c>
      <c r="L329">
        <f ca="1">TRUNC((TODAY()-tBase[[#This Row],[Data Nascimento]])/365)</f>
        <v>47</v>
      </c>
      <c r="M329" t="str">
        <f ca="1">HLOOKUP(tBase[[#This Row],[Idade]],$O$3:$R$4,2,TRUE)</f>
        <v>44 - 54</v>
      </c>
    </row>
    <row r="330" spans="2:13">
      <c r="B330" s="19">
        <v>44079062916</v>
      </c>
      <c r="C330" t="s">
        <v>279</v>
      </c>
      <c r="D330" t="s">
        <v>6</v>
      </c>
      <c r="E330" t="s">
        <v>8</v>
      </c>
      <c r="F330" t="s">
        <v>9</v>
      </c>
      <c r="G330" t="s">
        <v>425</v>
      </c>
      <c r="H330" s="1">
        <v>30816</v>
      </c>
      <c r="I330" s="1" t="s">
        <v>433</v>
      </c>
      <c r="J330" t="s">
        <v>453</v>
      </c>
      <c r="K330" s="20">
        <v>29.9</v>
      </c>
      <c r="L330">
        <f ca="1">TRUNC((TODAY()-tBase[[#This Row],[Data Nascimento]])/365)</f>
        <v>41</v>
      </c>
      <c r="M330" t="str">
        <f ca="1">HLOOKUP(tBase[[#This Row],[Idade]],$O$3:$R$4,2,TRUE)</f>
        <v>35 - 44</v>
      </c>
    </row>
    <row r="331" spans="2:13">
      <c r="B331" s="19">
        <v>44113863787</v>
      </c>
      <c r="C331" t="s">
        <v>343</v>
      </c>
      <c r="D331" t="s">
        <v>5</v>
      </c>
      <c r="E331" t="s">
        <v>7</v>
      </c>
      <c r="F331" t="s">
        <v>12</v>
      </c>
      <c r="G331" t="s">
        <v>424</v>
      </c>
      <c r="H331" s="1">
        <v>26021</v>
      </c>
      <c r="I331" s="1" t="s">
        <v>433</v>
      </c>
      <c r="J331" t="s">
        <v>456</v>
      </c>
      <c r="K331" s="20">
        <v>79.900000000000006</v>
      </c>
      <c r="L331">
        <f ca="1">TRUNC((TODAY()-tBase[[#This Row],[Data Nascimento]])/365)</f>
        <v>54</v>
      </c>
      <c r="M331" t="str">
        <f ca="1">HLOOKUP(tBase[[#This Row],[Idade]],$O$3:$R$4,2,TRUE)</f>
        <v>54-70</v>
      </c>
    </row>
    <row r="332" spans="2:13">
      <c r="B332" s="19">
        <v>44133248813</v>
      </c>
      <c r="C332" t="s">
        <v>120</v>
      </c>
      <c r="D332" t="s">
        <v>6</v>
      </c>
      <c r="E332" t="s">
        <v>7</v>
      </c>
      <c r="F332" t="s">
        <v>13</v>
      </c>
      <c r="G332" t="s">
        <v>426</v>
      </c>
      <c r="H332" s="1">
        <v>31851</v>
      </c>
      <c r="I332" s="1" t="s">
        <v>430</v>
      </c>
      <c r="J332" t="s">
        <v>454</v>
      </c>
      <c r="K332" s="20">
        <v>35.9</v>
      </c>
      <c r="L332">
        <f ca="1">TRUNC((TODAY()-tBase[[#This Row],[Data Nascimento]])/365)</f>
        <v>38</v>
      </c>
      <c r="M332" t="str">
        <f ca="1">HLOOKUP(tBase[[#This Row],[Idade]],$O$3:$R$4,2,TRUE)</f>
        <v>35 - 44</v>
      </c>
    </row>
    <row r="333" spans="2:13">
      <c r="B333" s="19">
        <v>44417946805</v>
      </c>
      <c r="C333" t="s">
        <v>313</v>
      </c>
      <c r="D333" t="s">
        <v>6</v>
      </c>
      <c r="E333" t="s">
        <v>7</v>
      </c>
      <c r="F333" t="s">
        <v>12</v>
      </c>
      <c r="G333" t="s">
        <v>424</v>
      </c>
      <c r="H333" s="1">
        <v>28177</v>
      </c>
      <c r="I333" s="1" t="s">
        <v>429</v>
      </c>
      <c r="J333" t="s">
        <v>454</v>
      </c>
      <c r="K333" s="20">
        <v>35.9</v>
      </c>
      <c r="L333">
        <f ca="1">TRUNC((TODAY()-tBase[[#This Row],[Data Nascimento]])/365)</f>
        <v>48</v>
      </c>
      <c r="M333" t="str">
        <f ca="1">HLOOKUP(tBase[[#This Row],[Idade]],$O$3:$R$4,2,TRUE)</f>
        <v>44 - 54</v>
      </c>
    </row>
    <row r="334" spans="2:13">
      <c r="B334" s="19">
        <v>44517150220</v>
      </c>
      <c r="C334" t="s">
        <v>26</v>
      </c>
      <c r="D334" t="s">
        <v>5</v>
      </c>
      <c r="E334" t="s">
        <v>417</v>
      </c>
      <c r="F334" t="s">
        <v>13</v>
      </c>
      <c r="G334" t="s">
        <v>426</v>
      </c>
      <c r="H334" s="1">
        <v>32994</v>
      </c>
      <c r="I334" s="1" t="s">
        <v>431</v>
      </c>
      <c r="J334" t="s">
        <v>456</v>
      </c>
      <c r="K334" s="20">
        <v>79.900000000000006</v>
      </c>
      <c r="L334">
        <f ca="1">TRUNC((TODAY()-tBase[[#This Row],[Data Nascimento]])/365)</f>
        <v>35</v>
      </c>
      <c r="M334" t="str">
        <f ca="1">HLOOKUP(tBase[[#This Row],[Idade]],$O$3:$R$4,2,TRUE)</f>
        <v>35 - 44</v>
      </c>
    </row>
    <row r="335" spans="2:13">
      <c r="B335" s="19">
        <v>44641671343</v>
      </c>
      <c r="C335" t="s">
        <v>280</v>
      </c>
      <c r="D335" t="s">
        <v>6</v>
      </c>
      <c r="E335" t="s">
        <v>7</v>
      </c>
      <c r="F335" t="s">
        <v>14</v>
      </c>
      <c r="G335" t="s">
        <v>426</v>
      </c>
      <c r="H335" s="1">
        <v>27549</v>
      </c>
      <c r="I335" s="1" t="s">
        <v>432</v>
      </c>
      <c r="J335" t="s">
        <v>455</v>
      </c>
      <c r="K335" s="20">
        <v>9.9</v>
      </c>
      <c r="L335">
        <f ca="1">TRUNC((TODAY()-tBase[[#This Row],[Data Nascimento]])/365)</f>
        <v>50</v>
      </c>
      <c r="M335" t="str">
        <f ca="1">HLOOKUP(tBase[[#This Row],[Idade]],$O$3:$R$4,2,TRUE)</f>
        <v>44 - 54</v>
      </c>
    </row>
    <row r="336" spans="2:13">
      <c r="B336" s="19">
        <v>44675229890</v>
      </c>
      <c r="C336" t="s">
        <v>42</v>
      </c>
      <c r="D336" t="s">
        <v>5</v>
      </c>
      <c r="E336" t="s">
        <v>8</v>
      </c>
      <c r="F336" t="s">
        <v>11</v>
      </c>
      <c r="G336" t="s">
        <v>424</v>
      </c>
      <c r="H336" s="1">
        <v>31308</v>
      </c>
      <c r="I336" s="1" t="s">
        <v>434</v>
      </c>
      <c r="J336" t="s">
        <v>456</v>
      </c>
      <c r="K336" s="20">
        <v>79.900000000000006</v>
      </c>
      <c r="L336">
        <f ca="1">TRUNC((TODAY()-tBase[[#This Row],[Data Nascimento]])/365)</f>
        <v>40</v>
      </c>
      <c r="M336" t="str">
        <f ca="1">HLOOKUP(tBase[[#This Row],[Idade]],$O$3:$R$4,2,TRUE)</f>
        <v>35 - 44</v>
      </c>
    </row>
    <row r="337" spans="2:13">
      <c r="B337" s="19">
        <v>44780102027</v>
      </c>
      <c r="C337" t="s">
        <v>398</v>
      </c>
      <c r="D337" t="s">
        <v>5</v>
      </c>
      <c r="E337" t="s">
        <v>416</v>
      </c>
      <c r="F337" t="s">
        <v>13</v>
      </c>
      <c r="G337" t="s">
        <v>426</v>
      </c>
      <c r="H337" s="1">
        <v>32123</v>
      </c>
      <c r="I337" s="1" t="s">
        <v>430</v>
      </c>
      <c r="J337" t="s">
        <v>455</v>
      </c>
      <c r="K337" s="20">
        <v>9.9</v>
      </c>
      <c r="L337">
        <f ca="1">TRUNC((TODAY()-tBase[[#This Row],[Data Nascimento]])/365)</f>
        <v>38</v>
      </c>
      <c r="M337" t="str">
        <f ca="1">HLOOKUP(tBase[[#This Row],[Idade]],$O$3:$R$4,2,TRUE)</f>
        <v>35 - 44</v>
      </c>
    </row>
    <row r="338" spans="2:13">
      <c r="B338" s="19">
        <v>44780432801</v>
      </c>
      <c r="C338" t="s">
        <v>390</v>
      </c>
      <c r="D338" t="s">
        <v>5</v>
      </c>
      <c r="E338" t="s">
        <v>7</v>
      </c>
      <c r="F338" t="s">
        <v>11</v>
      </c>
      <c r="G338" t="s">
        <v>426</v>
      </c>
      <c r="H338" s="1">
        <v>33672</v>
      </c>
      <c r="I338" s="1" t="s">
        <v>435</v>
      </c>
      <c r="J338" t="s">
        <v>456</v>
      </c>
      <c r="K338" s="20">
        <v>79.900000000000006</v>
      </c>
      <c r="L338">
        <f ca="1">TRUNC((TODAY()-tBase[[#This Row],[Data Nascimento]])/365)</f>
        <v>33</v>
      </c>
      <c r="M338" t="str">
        <f ca="1">HLOOKUP(tBase[[#This Row],[Idade]],$O$3:$R$4,2,TRUE)</f>
        <v>24-34</v>
      </c>
    </row>
    <row r="339" spans="2:13">
      <c r="B339" s="19">
        <v>44873409921</v>
      </c>
      <c r="C339" t="s">
        <v>118</v>
      </c>
      <c r="D339" t="s">
        <v>5</v>
      </c>
      <c r="E339" t="s">
        <v>417</v>
      </c>
      <c r="F339" t="s">
        <v>427</v>
      </c>
      <c r="G339" t="s">
        <v>426</v>
      </c>
      <c r="H339" s="1">
        <v>31040</v>
      </c>
      <c r="I339" s="1" t="s">
        <v>436</v>
      </c>
      <c r="J339" t="s">
        <v>453</v>
      </c>
      <c r="K339" s="20">
        <v>29.9</v>
      </c>
      <c r="L339">
        <f ca="1">TRUNC((TODAY()-tBase[[#This Row],[Data Nascimento]])/365)</f>
        <v>41</v>
      </c>
      <c r="M339" t="str">
        <f ca="1">HLOOKUP(tBase[[#This Row],[Idade]],$O$3:$R$4,2,TRUE)</f>
        <v>35 - 44</v>
      </c>
    </row>
    <row r="340" spans="2:13">
      <c r="B340" s="19">
        <v>44968480072</v>
      </c>
      <c r="C340" t="s">
        <v>143</v>
      </c>
      <c r="D340" t="s">
        <v>6</v>
      </c>
      <c r="E340" t="s">
        <v>7</v>
      </c>
      <c r="F340" t="s">
        <v>427</v>
      </c>
      <c r="G340" t="s">
        <v>424</v>
      </c>
      <c r="H340" s="1">
        <v>30279</v>
      </c>
      <c r="I340" s="1" t="s">
        <v>430</v>
      </c>
      <c r="J340" t="s">
        <v>453</v>
      </c>
      <c r="K340" s="20">
        <v>29.9</v>
      </c>
      <c r="L340">
        <f ca="1">TRUNC((TODAY()-tBase[[#This Row],[Data Nascimento]])/365)</f>
        <v>43</v>
      </c>
      <c r="M340" t="str">
        <f ca="1">HLOOKUP(tBase[[#This Row],[Idade]],$O$3:$R$4,2,TRUE)</f>
        <v>35 - 44</v>
      </c>
    </row>
    <row r="341" spans="2:13">
      <c r="B341" s="19">
        <v>45034419141</v>
      </c>
      <c r="C341" t="s">
        <v>54</v>
      </c>
      <c r="D341" t="s">
        <v>5</v>
      </c>
      <c r="E341" t="s">
        <v>417</v>
      </c>
      <c r="F341" t="s">
        <v>11</v>
      </c>
      <c r="G341" t="s">
        <v>425</v>
      </c>
      <c r="H341" s="1">
        <v>22505</v>
      </c>
      <c r="I341" s="1" t="s">
        <v>435</v>
      </c>
      <c r="J341" t="s">
        <v>456</v>
      </c>
      <c r="K341" s="20">
        <v>79.900000000000006</v>
      </c>
      <c r="L341">
        <f ca="1">TRUNC((TODAY()-tBase[[#This Row],[Data Nascimento]])/365)</f>
        <v>64</v>
      </c>
      <c r="M341" t="str">
        <f ca="1">HLOOKUP(tBase[[#This Row],[Idade]],$O$3:$R$4,2,TRUE)</f>
        <v>54-70</v>
      </c>
    </row>
    <row r="342" spans="2:13">
      <c r="B342" s="19">
        <v>45125322860</v>
      </c>
      <c r="C342" t="s">
        <v>136</v>
      </c>
      <c r="D342" t="s">
        <v>6</v>
      </c>
      <c r="E342" t="s">
        <v>7</v>
      </c>
      <c r="F342" t="s">
        <v>14</v>
      </c>
      <c r="G342" t="s">
        <v>426</v>
      </c>
      <c r="H342" s="1">
        <v>31552</v>
      </c>
      <c r="I342" s="1" t="s">
        <v>436</v>
      </c>
      <c r="J342" t="s">
        <v>455</v>
      </c>
      <c r="K342" s="20">
        <v>9.9</v>
      </c>
      <c r="L342">
        <f ca="1">TRUNC((TODAY()-tBase[[#This Row],[Data Nascimento]])/365)</f>
        <v>39</v>
      </c>
      <c r="M342" t="str">
        <f ca="1">HLOOKUP(tBase[[#This Row],[Idade]],$O$3:$R$4,2,TRUE)</f>
        <v>35 - 44</v>
      </c>
    </row>
    <row r="343" spans="2:13">
      <c r="B343" s="19">
        <v>45190223661</v>
      </c>
      <c r="C343" t="s">
        <v>394</v>
      </c>
      <c r="D343" t="s">
        <v>5</v>
      </c>
      <c r="E343" t="s">
        <v>417</v>
      </c>
      <c r="F343" t="s">
        <v>14</v>
      </c>
      <c r="G343" t="s">
        <v>425</v>
      </c>
      <c r="H343" s="1">
        <v>24657</v>
      </c>
      <c r="I343" s="1" t="s">
        <v>433</v>
      </c>
      <c r="J343" t="s">
        <v>453</v>
      </c>
      <c r="K343" s="20">
        <v>29.9</v>
      </c>
      <c r="L343">
        <f ca="1">TRUNC((TODAY()-tBase[[#This Row],[Data Nascimento]])/365)</f>
        <v>58</v>
      </c>
      <c r="M343" t="str">
        <f ca="1">HLOOKUP(tBase[[#This Row],[Idade]],$O$3:$R$4,2,TRUE)</f>
        <v>54-70</v>
      </c>
    </row>
    <row r="344" spans="2:13">
      <c r="B344" s="19">
        <v>45305541903</v>
      </c>
      <c r="C344" t="s">
        <v>174</v>
      </c>
      <c r="D344" t="s">
        <v>6</v>
      </c>
      <c r="E344" t="s">
        <v>417</v>
      </c>
      <c r="F344" t="s">
        <v>11</v>
      </c>
      <c r="G344" t="s">
        <v>425</v>
      </c>
      <c r="H344" s="1">
        <v>24382</v>
      </c>
      <c r="I344" s="1" t="s">
        <v>433</v>
      </c>
      <c r="J344" t="s">
        <v>456</v>
      </c>
      <c r="K344" s="20">
        <v>79.900000000000006</v>
      </c>
      <c r="L344">
        <f ca="1">TRUNC((TODAY()-tBase[[#This Row],[Data Nascimento]])/365)</f>
        <v>59</v>
      </c>
      <c r="M344" t="str">
        <f ca="1">HLOOKUP(tBase[[#This Row],[Idade]],$O$3:$R$4,2,TRUE)</f>
        <v>54-70</v>
      </c>
    </row>
    <row r="345" spans="2:13">
      <c r="B345" s="19">
        <v>45344898195</v>
      </c>
      <c r="C345" t="s">
        <v>338</v>
      </c>
      <c r="D345" t="s">
        <v>6</v>
      </c>
      <c r="E345" t="s">
        <v>417</v>
      </c>
      <c r="F345" t="s">
        <v>13</v>
      </c>
      <c r="G345" t="s">
        <v>426</v>
      </c>
      <c r="H345" s="1">
        <v>34215</v>
      </c>
      <c r="I345" s="1" t="s">
        <v>433</v>
      </c>
      <c r="J345" t="s">
        <v>456</v>
      </c>
      <c r="K345" s="20">
        <v>79.900000000000006</v>
      </c>
      <c r="L345">
        <f ca="1">TRUNC((TODAY()-tBase[[#This Row],[Data Nascimento]])/365)</f>
        <v>32</v>
      </c>
      <c r="M345" t="str">
        <f ca="1">HLOOKUP(tBase[[#This Row],[Idade]],$O$3:$R$4,2,TRUE)</f>
        <v>24-34</v>
      </c>
    </row>
    <row r="346" spans="2:13">
      <c r="B346" s="19">
        <v>45398267634</v>
      </c>
      <c r="C346" t="s">
        <v>307</v>
      </c>
      <c r="D346" t="s">
        <v>5</v>
      </c>
      <c r="E346" t="s">
        <v>7</v>
      </c>
      <c r="F346" t="s">
        <v>12</v>
      </c>
      <c r="G346" t="s">
        <v>425</v>
      </c>
      <c r="H346" s="1">
        <v>34338</v>
      </c>
      <c r="I346" s="1" t="s">
        <v>433</v>
      </c>
      <c r="J346" t="s">
        <v>455</v>
      </c>
      <c r="K346" s="20">
        <v>9.9</v>
      </c>
      <c r="L346">
        <f ca="1">TRUNC((TODAY()-tBase[[#This Row],[Data Nascimento]])/365)</f>
        <v>32</v>
      </c>
      <c r="M346" t="str">
        <f ca="1">HLOOKUP(tBase[[#This Row],[Idade]],$O$3:$R$4,2,TRUE)</f>
        <v>24-34</v>
      </c>
    </row>
    <row r="347" spans="2:13">
      <c r="B347" s="19">
        <v>45551104001</v>
      </c>
      <c r="C347" t="s">
        <v>356</v>
      </c>
      <c r="D347" t="s">
        <v>6</v>
      </c>
      <c r="E347" t="s">
        <v>7</v>
      </c>
      <c r="F347" t="s">
        <v>13</v>
      </c>
      <c r="G347" t="s">
        <v>426</v>
      </c>
      <c r="H347" s="1">
        <v>21615</v>
      </c>
      <c r="I347" s="1" t="s">
        <v>433</v>
      </c>
      <c r="J347" t="s">
        <v>455</v>
      </c>
      <c r="K347" s="20">
        <v>9.9</v>
      </c>
      <c r="L347">
        <f ca="1">TRUNC((TODAY()-tBase[[#This Row],[Data Nascimento]])/365)</f>
        <v>66</v>
      </c>
      <c r="M347" t="str">
        <f ca="1">HLOOKUP(tBase[[#This Row],[Idade]],$O$3:$R$4,2,TRUE)</f>
        <v>54-70</v>
      </c>
    </row>
    <row r="348" spans="2:13">
      <c r="B348" s="19">
        <v>45591421429</v>
      </c>
      <c r="C348" t="s">
        <v>342</v>
      </c>
      <c r="D348" t="s">
        <v>6</v>
      </c>
      <c r="E348" t="s">
        <v>8</v>
      </c>
      <c r="F348" t="s">
        <v>11</v>
      </c>
      <c r="G348" t="s">
        <v>424</v>
      </c>
      <c r="H348" s="1">
        <v>29906</v>
      </c>
      <c r="I348" s="1" t="s">
        <v>433</v>
      </c>
      <c r="J348" t="s">
        <v>456</v>
      </c>
      <c r="K348" s="20">
        <v>79.900000000000006</v>
      </c>
      <c r="L348">
        <f ca="1">TRUNC((TODAY()-tBase[[#This Row],[Data Nascimento]])/365)</f>
        <v>44</v>
      </c>
      <c r="M348" t="str">
        <f ca="1">HLOOKUP(tBase[[#This Row],[Idade]],$O$3:$R$4,2,TRUE)</f>
        <v>44 - 54</v>
      </c>
    </row>
    <row r="349" spans="2:13">
      <c r="B349" s="19">
        <v>45665433109</v>
      </c>
      <c r="C349" t="s">
        <v>43</v>
      </c>
      <c r="D349" t="s">
        <v>6</v>
      </c>
      <c r="E349" t="s">
        <v>7</v>
      </c>
      <c r="F349" t="s">
        <v>12</v>
      </c>
      <c r="G349" t="s">
        <v>424</v>
      </c>
      <c r="H349" s="1">
        <v>29499</v>
      </c>
      <c r="I349" s="1" t="s">
        <v>433</v>
      </c>
      <c r="J349" t="s">
        <v>455</v>
      </c>
      <c r="K349" s="20">
        <v>9.9</v>
      </c>
      <c r="L349">
        <f ca="1">TRUNC((TODAY()-tBase[[#This Row],[Data Nascimento]])/365)</f>
        <v>45</v>
      </c>
      <c r="M349" t="str">
        <f ca="1">HLOOKUP(tBase[[#This Row],[Idade]],$O$3:$R$4,2,TRUE)</f>
        <v>44 - 54</v>
      </c>
    </row>
    <row r="350" spans="2:13">
      <c r="B350" s="19">
        <v>45682920544</v>
      </c>
      <c r="C350" t="s">
        <v>233</v>
      </c>
      <c r="D350" t="s">
        <v>5</v>
      </c>
      <c r="E350" t="s">
        <v>7</v>
      </c>
      <c r="F350" t="s">
        <v>427</v>
      </c>
      <c r="G350" t="s">
        <v>424</v>
      </c>
      <c r="H350" s="1">
        <v>32679</v>
      </c>
      <c r="I350" s="1" t="s">
        <v>433</v>
      </c>
      <c r="J350" t="s">
        <v>454</v>
      </c>
      <c r="K350" s="20">
        <v>35.9</v>
      </c>
      <c r="L350">
        <f ca="1">TRUNC((TODAY()-tBase[[#This Row],[Data Nascimento]])/365)</f>
        <v>36</v>
      </c>
      <c r="M350" t="str">
        <f ca="1">HLOOKUP(tBase[[#This Row],[Idade]],$O$3:$R$4,2,TRUE)</f>
        <v>35 - 44</v>
      </c>
    </row>
    <row r="351" spans="2:13">
      <c r="B351" s="19">
        <v>45709208362</v>
      </c>
      <c r="C351" t="s">
        <v>189</v>
      </c>
      <c r="D351" t="s">
        <v>5</v>
      </c>
      <c r="E351" t="s">
        <v>8</v>
      </c>
      <c r="F351" t="s">
        <v>427</v>
      </c>
      <c r="G351" t="s">
        <v>425</v>
      </c>
      <c r="H351" s="1">
        <v>22631</v>
      </c>
      <c r="I351" s="1" t="s">
        <v>433</v>
      </c>
      <c r="J351" t="s">
        <v>455</v>
      </c>
      <c r="K351" s="20">
        <v>9.9</v>
      </c>
      <c r="L351">
        <f ca="1">TRUNC((TODAY()-tBase[[#This Row],[Data Nascimento]])/365)</f>
        <v>64</v>
      </c>
      <c r="M351" t="str">
        <f ca="1">HLOOKUP(tBase[[#This Row],[Idade]],$O$3:$R$4,2,TRUE)</f>
        <v>54-70</v>
      </c>
    </row>
    <row r="352" spans="2:13">
      <c r="B352" s="19">
        <v>45881940290</v>
      </c>
      <c r="C352" t="s">
        <v>195</v>
      </c>
      <c r="D352" t="s">
        <v>5</v>
      </c>
      <c r="E352" t="s">
        <v>417</v>
      </c>
      <c r="F352" t="s">
        <v>9</v>
      </c>
      <c r="G352" t="s">
        <v>425</v>
      </c>
      <c r="H352" s="1">
        <v>32142</v>
      </c>
      <c r="I352" s="1" t="s">
        <v>429</v>
      </c>
      <c r="J352" t="s">
        <v>455</v>
      </c>
      <c r="K352" s="20">
        <v>9.9</v>
      </c>
      <c r="L352">
        <f ca="1">TRUNC((TODAY()-tBase[[#This Row],[Data Nascimento]])/365)</f>
        <v>38</v>
      </c>
      <c r="M352" t="str">
        <f ca="1">HLOOKUP(tBase[[#This Row],[Idade]],$O$3:$R$4,2,TRUE)</f>
        <v>35 - 44</v>
      </c>
    </row>
    <row r="353" spans="2:13">
      <c r="B353" s="19">
        <v>45892038935</v>
      </c>
      <c r="C353" t="s">
        <v>325</v>
      </c>
      <c r="D353" t="s">
        <v>5</v>
      </c>
      <c r="E353" t="s">
        <v>7</v>
      </c>
      <c r="F353" t="s">
        <v>427</v>
      </c>
      <c r="G353" t="s">
        <v>425</v>
      </c>
      <c r="H353" s="1">
        <v>29975</v>
      </c>
      <c r="I353" s="1" t="s">
        <v>432</v>
      </c>
      <c r="J353" t="s">
        <v>454</v>
      </c>
      <c r="K353" s="20">
        <v>35.9</v>
      </c>
      <c r="L353">
        <f ca="1">TRUNC((TODAY()-tBase[[#This Row],[Data Nascimento]])/365)</f>
        <v>44</v>
      </c>
      <c r="M353" t="str">
        <f ca="1">HLOOKUP(tBase[[#This Row],[Idade]],$O$3:$R$4,2,TRUE)</f>
        <v>44 - 54</v>
      </c>
    </row>
    <row r="354" spans="2:13">
      <c r="B354" s="19">
        <v>45953823152</v>
      </c>
      <c r="C354" t="s">
        <v>181</v>
      </c>
      <c r="D354" t="s">
        <v>5</v>
      </c>
      <c r="E354" t="s">
        <v>417</v>
      </c>
      <c r="F354" t="s">
        <v>427</v>
      </c>
      <c r="G354" t="s">
        <v>425</v>
      </c>
      <c r="H354" s="1">
        <v>23160</v>
      </c>
      <c r="I354" s="1" t="s">
        <v>436</v>
      </c>
      <c r="J354" t="s">
        <v>454</v>
      </c>
      <c r="K354" s="20">
        <v>35.9</v>
      </c>
      <c r="L354">
        <f ca="1">TRUNC((TODAY()-tBase[[#This Row],[Data Nascimento]])/365)</f>
        <v>62</v>
      </c>
      <c r="M354" t="str">
        <f ca="1">HLOOKUP(tBase[[#This Row],[Idade]],$O$3:$R$4,2,TRUE)</f>
        <v>54-70</v>
      </c>
    </row>
    <row r="355" spans="2:13">
      <c r="B355" s="19">
        <v>45961352404</v>
      </c>
      <c r="C355" t="s">
        <v>375</v>
      </c>
      <c r="D355" t="s">
        <v>6</v>
      </c>
      <c r="E355" t="s">
        <v>417</v>
      </c>
      <c r="F355" t="s">
        <v>9</v>
      </c>
      <c r="G355" t="s">
        <v>425</v>
      </c>
      <c r="H355" s="1">
        <v>30770</v>
      </c>
      <c r="I355" s="1" t="s">
        <v>436</v>
      </c>
      <c r="J355" t="s">
        <v>453</v>
      </c>
      <c r="K355" s="20">
        <v>29.9</v>
      </c>
      <c r="L355">
        <f ca="1">TRUNC((TODAY()-tBase[[#This Row],[Data Nascimento]])/365)</f>
        <v>41</v>
      </c>
      <c r="M355" t="str">
        <f ca="1">HLOOKUP(tBase[[#This Row],[Idade]],$O$3:$R$4,2,TRUE)</f>
        <v>35 - 44</v>
      </c>
    </row>
    <row r="356" spans="2:13">
      <c r="B356" s="19">
        <v>46126747412</v>
      </c>
      <c r="C356" t="s">
        <v>159</v>
      </c>
      <c r="D356" t="s">
        <v>5</v>
      </c>
      <c r="E356" t="s">
        <v>8</v>
      </c>
      <c r="F356" t="s">
        <v>9</v>
      </c>
      <c r="G356" t="s">
        <v>425</v>
      </c>
      <c r="H356" s="1">
        <v>22827</v>
      </c>
      <c r="I356" s="1" t="s">
        <v>436</v>
      </c>
      <c r="J356" t="s">
        <v>455</v>
      </c>
      <c r="K356" s="20">
        <v>9.9</v>
      </c>
      <c r="L356">
        <f ca="1">TRUNC((TODAY()-tBase[[#This Row],[Data Nascimento]])/365)</f>
        <v>63</v>
      </c>
      <c r="M356" t="str">
        <f ca="1">HLOOKUP(tBase[[#This Row],[Idade]],$O$3:$R$4,2,TRUE)</f>
        <v>54-70</v>
      </c>
    </row>
    <row r="357" spans="2:13">
      <c r="B357" s="19">
        <v>46157189382</v>
      </c>
      <c r="C357" t="s">
        <v>290</v>
      </c>
      <c r="D357" t="s">
        <v>6</v>
      </c>
      <c r="E357" t="s">
        <v>7</v>
      </c>
      <c r="F357" t="s">
        <v>13</v>
      </c>
      <c r="G357" t="s">
        <v>426</v>
      </c>
      <c r="H357" s="1">
        <v>25876</v>
      </c>
      <c r="I357" s="1" t="s">
        <v>436</v>
      </c>
      <c r="J357" t="s">
        <v>456</v>
      </c>
      <c r="K357" s="20">
        <v>79.900000000000006</v>
      </c>
      <c r="L357">
        <f ca="1">TRUNC((TODAY()-tBase[[#This Row],[Data Nascimento]])/365)</f>
        <v>55</v>
      </c>
      <c r="M357" t="str">
        <f ca="1">HLOOKUP(tBase[[#This Row],[Idade]],$O$3:$R$4,2,TRUE)</f>
        <v>54-70</v>
      </c>
    </row>
    <row r="358" spans="2:13">
      <c r="B358" s="19">
        <v>46205324892</v>
      </c>
      <c r="C358" t="s">
        <v>22</v>
      </c>
      <c r="D358" t="s">
        <v>5</v>
      </c>
      <c r="E358" t="s">
        <v>8</v>
      </c>
      <c r="F358" t="s">
        <v>427</v>
      </c>
      <c r="G358" t="s">
        <v>424</v>
      </c>
      <c r="H358" s="1">
        <v>25099</v>
      </c>
      <c r="I358" s="1" t="s">
        <v>436</v>
      </c>
      <c r="J358" t="s">
        <v>453</v>
      </c>
      <c r="K358" s="20">
        <v>29.9</v>
      </c>
      <c r="L358">
        <f ca="1">TRUNC((TODAY()-tBase[[#This Row],[Data Nascimento]])/365)</f>
        <v>57</v>
      </c>
      <c r="M358" t="str">
        <f ca="1">HLOOKUP(tBase[[#This Row],[Idade]],$O$3:$R$4,2,TRUE)</f>
        <v>54-70</v>
      </c>
    </row>
    <row r="359" spans="2:13">
      <c r="B359" s="19">
        <v>46222211142</v>
      </c>
      <c r="C359" t="s">
        <v>391</v>
      </c>
      <c r="D359" t="s">
        <v>6</v>
      </c>
      <c r="E359" t="s">
        <v>417</v>
      </c>
      <c r="F359" t="s">
        <v>12</v>
      </c>
      <c r="G359" t="s">
        <v>424</v>
      </c>
      <c r="H359" s="1">
        <v>21213</v>
      </c>
      <c r="I359" s="1" t="s">
        <v>436</v>
      </c>
      <c r="J359" t="s">
        <v>456</v>
      </c>
      <c r="K359" s="20">
        <v>79.900000000000006</v>
      </c>
      <c r="L359">
        <f ca="1">TRUNC((TODAY()-tBase[[#This Row],[Data Nascimento]])/365)</f>
        <v>68</v>
      </c>
      <c r="M359" t="str">
        <f ca="1">HLOOKUP(tBase[[#This Row],[Idade]],$O$3:$R$4,2,TRUE)</f>
        <v>54-70</v>
      </c>
    </row>
    <row r="360" spans="2:13">
      <c r="B360" s="19">
        <v>46344330480</v>
      </c>
      <c r="C360" t="s">
        <v>348</v>
      </c>
      <c r="D360" t="s">
        <v>6</v>
      </c>
      <c r="E360" t="s">
        <v>416</v>
      </c>
      <c r="F360" t="s">
        <v>13</v>
      </c>
      <c r="G360" t="s">
        <v>425</v>
      </c>
      <c r="H360" s="1">
        <v>34083</v>
      </c>
      <c r="I360" s="1" t="s">
        <v>435</v>
      </c>
      <c r="J360" t="s">
        <v>455</v>
      </c>
      <c r="K360" s="20">
        <v>9.9</v>
      </c>
      <c r="L360">
        <f ca="1">TRUNC((TODAY()-tBase[[#This Row],[Data Nascimento]])/365)</f>
        <v>32</v>
      </c>
      <c r="M360" t="str">
        <f ca="1">HLOOKUP(tBase[[#This Row],[Idade]],$O$3:$R$4,2,TRUE)</f>
        <v>24-34</v>
      </c>
    </row>
    <row r="361" spans="2:13">
      <c r="B361" s="19">
        <v>46353055602</v>
      </c>
      <c r="C361" t="s">
        <v>373</v>
      </c>
      <c r="D361" t="s">
        <v>6</v>
      </c>
      <c r="E361" t="s">
        <v>7</v>
      </c>
      <c r="F361" t="s">
        <v>427</v>
      </c>
      <c r="G361" t="s">
        <v>424</v>
      </c>
      <c r="H361" s="1">
        <v>22815</v>
      </c>
      <c r="I361" s="1" t="s">
        <v>433</v>
      </c>
      <c r="J361" t="s">
        <v>454</v>
      </c>
      <c r="K361" s="20">
        <v>35.9</v>
      </c>
      <c r="L361">
        <f ca="1">TRUNC((TODAY()-tBase[[#This Row],[Data Nascimento]])/365)</f>
        <v>63</v>
      </c>
      <c r="M361" t="str">
        <f ca="1">HLOOKUP(tBase[[#This Row],[Idade]],$O$3:$R$4,2,TRUE)</f>
        <v>54-70</v>
      </c>
    </row>
    <row r="362" spans="2:13">
      <c r="B362" s="19">
        <v>46354255833</v>
      </c>
      <c r="C362" t="s">
        <v>392</v>
      </c>
      <c r="D362" t="s">
        <v>5</v>
      </c>
      <c r="E362" t="s">
        <v>8</v>
      </c>
      <c r="F362" t="s">
        <v>13</v>
      </c>
      <c r="G362" t="s">
        <v>425</v>
      </c>
      <c r="H362" s="1">
        <v>26340</v>
      </c>
      <c r="I362" s="1" t="s">
        <v>433</v>
      </c>
      <c r="J362" t="s">
        <v>453</v>
      </c>
      <c r="K362" s="20">
        <v>29.9</v>
      </c>
      <c r="L362">
        <f ca="1">TRUNC((TODAY()-tBase[[#This Row],[Data Nascimento]])/365)</f>
        <v>54</v>
      </c>
      <c r="M362" t="str">
        <f ca="1">HLOOKUP(tBase[[#This Row],[Idade]],$O$3:$R$4,2,TRUE)</f>
        <v>54-70</v>
      </c>
    </row>
    <row r="363" spans="2:13">
      <c r="B363" s="19">
        <v>46370856674</v>
      </c>
      <c r="C363" t="s">
        <v>319</v>
      </c>
      <c r="D363" t="s">
        <v>5</v>
      </c>
      <c r="E363" t="s">
        <v>8</v>
      </c>
      <c r="F363" t="s">
        <v>12</v>
      </c>
      <c r="G363" t="s">
        <v>425</v>
      </c>
      <c r="H363" s="1">
        <v>26710</v>
      </c>
      <c r="I363" s="1" t="s">
        <v>433</v>
      </c>
      <c r="J363" t="s">
        <v>456</v>
      </c>
      <c r="K363" s="20">
        <v>79.900000000000006</v>
      </c>
      <c r="L363">
        <f ca="1">TRUNC((TODAY()-tBase[[#This Row],[Data Nascimento]])/365)</f>
        <v>52</v>
      </c>
      <c r="M363" t="str">
        <f ca="1">HLOOKUP(tBase[[#This Row],[Idade]],$O$3:$R$4,2,TRUE)</f>
        <v>44 - 54</v>
      </c>
    </row>
    <row r="364" spans="2:13">
      <c r="B364" s="19">
        <v>46447828715</v>
      </c>
      <c r="C364" t="s">
        <v>407</v>
      </c>
      <c r="D364" t="s">
        <v>6</v>
      </c>
      <c r="E364" t="s">
        <v>7</v>
      </c>
      <c r="F364" t="s">
        <v>427</v>
      </c>
      <c r="G364" t="s">
        <v>425</v>
      </c>
      <c r="H364" s="1">
        <v>31371</v>
      </c>
      <c r="I364" s="1" t="s">
        <v>433</v>
      </c>
      <c r="J364" t="s">
        <v>453</v>
      </c>
      <c r="K364" s="20">
        <v>29.9</v>
      </c>
      <c r="L364">
        <f ca="1">TRUNC((TODAY()-tBase[[#This Row],[Data Nascimento]])/365)</f>
        <v>40</v>
      </c>
      <c r="M364" t="str">
        <f ca="1">HLOOKUP(tBase[[#This Row],[Idade]],$O$3:$R$4,2,TRUE)</f>
        <v>35 - 44</v>
      </c>
    </row>
    <row r="365" spans="2:13">
      <c r="B365" s="19">
        <v>46483232083</v>
      </c>
      <c r="C365" t="s">
        <v>365</v>
      </c>
      <c r="D365" t="s">
        <v>6</v>
      </c>
      <c r="E365" t="s">
        <v>7</v>
      </c>
      <c r="F365" t="s">
        <v>427</v>
      </c>
      <c r="G365" t="s">
        <v>425</v>
      </c>
      <c r="H365" s="1">
        <v>25253</v>
      </c>
      <c r="I365" s="1" t="s">
        <v>433</v>
      </c>
      <c r="J365" t="s">
        <v>454</v>
      </c>
      <c r="K365" s="20">
        <v>35.9</v>
      </c>
      <c r="L365">
        <f ca="1">TRUNC((TODAY()-tBase[[#This Row],[Data Nascimento]])/365)</f>
        <v>56</v>
      </c>
      <c r="M365" t="str">
        <f ca="1">HLOOKUP(tBase[[#This Row],[Idade]],$O$3:$R$4,2,TRUE)</f>
        <v>54-70</v>
      </c>
    </row>
    <row r="366" spans="2:13">
      <c r="B366" s="19">
        <v>46533166609</v>
      </c>
      <c r="C366" t="s">
        <v>283</v>
      </c>
      <c r="D366" t="s">
        <v>6</v>
      </c>
      <c r="E366" t="s">
        <v>7</v>
      </c>
      <c r="F366" t="s">
        <v>12</v>
      </c>
      <c r="G366" t="s">
        <v>424</v>
      </c>
      <c r="H366" s="1">
        <v>33765</v>
      </c>
      <c r="I366" s="1" t="s">
        <v>430</v>
      </c>
      <c r="J366" t="s">
        <v>455</v>
      </c>
      <c r="K366" s="20">
        <v>9.9</v>
      </c>
      <c r="L366">
        <f ca="1">TRUNC((TODAY()-tBase[[#This Row],[Data Nascimento]])/365)</f>
        <v>33</v>
      </c>
      <c r="M366" t="str">
        <f ca="1">HLOOKUP(tBase[[#This Row],[Idade]],$O$3:$R$4,2,TRUE)</f>
        <v>24-34</v>
      </c>
    </row>
    <row r="367" spans="2:13">
      <c r="B367" s="19">
        <v>46593413625</v>
      </c>
      <c r="C367" t="s">
        <v>90</v>
      </c>
      <c r="D367" t="s">
        <v>5</v>
      </c>
      <c r="E367" t="s">
        <v>7</v>
      </c>
      <c r="F367" t="s">
        <v>11</v>
      </c>
      <c r="G367" t="s">
        <v>426</v>
      </c>
      <c r="H367" s="1">
        <v>31478</v>
      </c>
      <c r="I367" s="1" t="s">
        <v>429</v>
      </c>
      <c r="J367" t="s">
        <v>456</v>
      </c>
      <c r="K367" s="20">
        <v>79.900000000000006</v>
      </c>
      <c r="L367">
        <f ca="1">TRUNC((TODAY()-tBase[[#This Row],[Data Nascimento]])/365)</f>
        <v>39</v>
      </c>
      <c r="M367" t="str">
        <f ca="1">HLOOKUP(tBase[[#This Row],[Idade]],$O$3:$R$4,2,TRUE)</f>
        <v>35 - 44</v>
      </c>
    </row>
    <row r="368" spans="2:13">
      <c r="B368" s="19">
        <v>46610379858</v>
      </c>
      <c r="C368" t="s">
        <v>105</v>
      </c>
      <c r="D368" t="s">
        <v>6</v>
      </c>
      <c r="E368" t="s">
        <v>7</v>
      </c>
      <c r="F368" t="s">
        <v>427</v>
      </c>
      <c r="G368" t="s">
        <v>425</v>
      </c>
      <c r="H368" s="1">
        <v>22932</v>
      </c>
      <c r="I368" s="1" t="s">
        <v>431</v>
      </c>
      <c r="J368" t="s">
        <v>455</v>
      </c>
      <c r="K368" s="20">
        <v>9.9</v>
      </c>
      <c r="L368">
        <f ca="1">TRUNC((TODAY()-tBase[[#This Row],[Data Nascimento]])/365)</f>
        <v>63</v>
      </c>
      <c r="M368" t="str">
        <f ca="1">HLOOKUP(tBase[[#This Row],[Idade]],$O$3:$R$4,2,TRUE)</f>
        <v>54-70</v>
      </c>
    </row>
    <row r="369" spans="2:13">
      <c r="B369" s="19">
        <v>46621773048</v>
      </c>
      <c r="C369" t="s">
        <v>379</v>
      </c>
      <c r="D369" t="s">
        <v>6</v>
      </c>
      <c r="E369" t="s">
        <v>8</v>
      </c>
      <c r="F369" t="s">
        <v>12</v>
      </c>
      <c r="G369" t="s">
        <v>426</v>
      </c>
      <c r="H369" s="1">
        <v>23709</v>
      </c>
      <c r="I369" s="1" t="s">
        <v>432</v>
      </c>
      <c r="J369" t="s">
        <v>455</v>
      </c>
      <c r="K369" s="20">
        <v>9.9</v>
      </c>
      <c r="L369">
        <f ca="1">TRUNC((TODAY()-tBase[[#This Row],[Data Nascimento]])/365)</f>
        <v>61</v>
      </c>
      <c r="M369" t="str">
        <f ca="1">HLOOKUP(tBase[[#This Row],[Idade]],$O$3:$R$4,2,TRUE)</f>
        <v>54-70</v>
      </c>
    </row>
    <row r="370" spans="2:13">
      <c r="B370" s="19">
        <v>46741073132</v>
      </c>
      <c r="C370" t="s">
        <v>399</v>
      </c>
      <c r="D370" t="s">
        <v>6</v>
      </c>
      <c r="E370" t="s">
        <v>8</v>
      </c>
      <c r="F370" t="s">
        <v>9</v>
      </c>
      <c r="G370" t="s">
        <v>425</v>
      </c>
      <c r="H370" s="1">
        <v>28749</v>
      </c>
      <c r="I370" s="1" t="s">
        <v>434</v>
      </c>
      <c r="J370" t="s">
        <v>455</v>
      </c>
      <c r="K370" s="20">
        <v>9.9</v>
      </c>
      <c r="L370">
        <f ca="1">TRUNC((TODAY()-tBase[[#This Row],[Data Nascimento]])/365)</f>
        <v>47</v>
      </c>
      <c r="M370" t="str">
        <f ca="1">HLOOKUP(tBase[[#This Row],[Idade]],$O$3:$R$4,2,TRUE)</f>
        <v>44 - 54</v>
      </c>
    </row>
    <row r="371" spans="2:13">
      <c r="B371" s="19">
        <v>46800162766</v>
      </c>
      <c r="C371" t="s">
        <v>64</v>
      </c>
      <c r="D371" t="s">
        <v>5</v>
      </c>
      <c r="E371" t="s">
        <v>417</v>
      </c>
      <c r="F371" t="s">
        <v>14</v>
      </c>
      <c r="G371" t="s">
        <v>425</v>
      </c>
      <c r="H371" s="1">
        <v>29708</v>
      </c>
      <c r="I371" s="1" t="s">
        <v>430</v>
      </c>
      <c r="J371" t="s">
        <v>453</v>
      </c>
      <c r="K371" s="20">
        <v>29.9</v>
      </c>
      <c r="L371">
        <f ca="1">TRUNC((TODAY()-tBase[[#This Row],[Data Nascimento]])/365)</f>
        <v>44</v>
      </c>
      <c r="M371" t="str">
        <f ca="1">HLOOKUP(tBase[[#This Row],[Idade]],$O$3:$R$4,2,TRUE)</f>
        <v>44 - 54</v>
      </c>
    </row>
    <row r="372" spans="2:13">
      <c r="B372" s="19">
        <v>46858118798</v>
      </c>
      <c r="C372" t="s">
        <v>132</v>
      </c>
      <c r="D372" t="s">
        <v>6</v>
      </c>
      <c r="E372" t="s">
        <v>8</v>
      </c>
      <c r="F372" t="s">
        <v>13</v>
      </c>
      <c r="G372" t="s">
        <v>425</v>
      </c>
      <c r="H372" s="1">
        <v>20741</v>
      </c>
      <c r="I372" s="1" t="s">
        <v>435</v>
      </c>
      <c r="J372" t="s">
        <v>455</v>
      </c>
      <c r="K372" s="20">
        <v>9.9</v>
      </c>
      <c r="L372">
        <f ca="1">TRUNC((TODAY()-tBase[[#This Row],[Data Nascimento]])/365)</f>
        <v>69</v>
      </c>
      <c r="M372" t="str">
        <f ca="1">HLOOKUP(tBase[[#This Row],[Idade]],$O$3:$R$4,2,TRUE)</f>
        <v>54-70</v>
      </c>
    </row>
    <row r="373" spans="2:13">
      <c r="B373" s="19">
        <v>46884175269</v>
      </c>
      <c r="C373" t="s">
        <v>214</v>
      </c>
      <c r="D373" t="s">
        <v>6</v>
      </c>
      <c r="E373" t="s">
        <v>417</v>
      </c>
      <c r="F373" t="s">
        <v>427</v>
      </c>
      <c r="G373" t="s">
        <v>426</v>
      </c>
      <c r="H373" s="1">
        <v>22480</v>
      </c>
      <c r="I373" s="1" t="s">
        <v>436</v>
      </c>
      <c r="J373" t="s">
        <v>453</v>
      </c>
      <c r="K373" s="20">
        <v>29.9</v>
      </c>
      <c r="L373">
        <f ca="1">TRUNC((TODAY()-tBase[[#This Row],[Data Nascimento]])/365)</f>
        <v>64</v>
      </c>
      <c r="M373" t="str">
        <f ca="1">HLOOKUP(tBase[[#This Row],[Idade]],$O$3:$R$4,2,TRUE)</f>
        <v>54-70</v>
      </c>
    </row>
    <row r="374" spans="2:13">
      <c r="B374" s="19">
        <v>47005649054</v>
      </c>
      <c r="C374" t="s">
        <v>329</v>
      </c>
      <c r="D374" t="s">
        <v>5</v>
      </c>
      <c r="E374" t="s">
        <v>8</v>
      </c>
      <c r="F374" t="s">
        <v>427</v>
      </c>
      <c r="G374" t="s">
        <v>424</v>
      </c>
      <c r="H374" s="1">
        <v>28842</v>
      </c>
      <c r="I374" s="1" t="s">
        <v>430</v>
      </c>
      <c r="J374" t="s">
        <v>454</v>
      </c>
      <c r="K374" s="20">
        <v>35.9</v>
      </c>
      <c r="L374">
        <f ca="1">TRUNC((TODAY()-tBase[[#This Row],[Data Nascimento]])/365)</f>
        <v>47</v>
      </c>
      <c r="M374" t="str">
        <f ca="1">HLOOKUP(tBase[[#This Row],[Idade]],$O$3:$R$4,2,TRUE)</f>
        <v>44 - 54</v>
      </c>
    </row>
    <row r="375" spans="2:13">
      <c r="B375" s="19">
        <v>47007221276</v>
      </c>
      <c r="C375" t="s">
        <v>29</v>
      </c>
      <c r="D375" t="s">
        <v>6</v>
      </c>
      <c r="E375" t="s">
        <v>8</v>
      </c>
      <c r="F375" t="s">
        <v>427</v>
      </c>
      <c r="G375" t="s">
        <v>426</v>
      </c>
      <c r="H375" s="1">
        <v>26224</v>
      </c>
      <c r="I375" s="1" t="s">
        <v>435</v>
      </c>
      <c r="J375" t="s">
        <v>454</v>
      </c>
      <c r="K375" s="20">
        <v>35.9</v>
      </c>
      <c r="L375">
        <f ca="1">TRUNC((TODAY()-tBase[[#This Row],[Data Nascimento]])/365)</f>
        <v>54</v>
      </c>
      <c r="M375" t="str">
        <f ca="1">HLOOKUP(tBase[[#This Row],[Idade]],$O$3:$R$4,2,TRUE)</f>
        <v>54-70</v>
      </c>
    </row>
    <row r="376" spans="2:13">
      <c r="B376" s="19">
        <v>47042599063</v>
      </c>
      <c r="C376" t="s">
        <v>102</v>
      </c>
      <c r="D376" t="s">
        <v>6</v>
      </c>
      <c r="E376" t="s">
        <v>8</v>
      </c>
      <c r="F376" t="s">
        <v>11</v>
      </c>
      <c r="G376" t="s">
        <v>424</v>
      </c>
      <c r="H376" s="1">
        <v>33916</v>
      </c>
      <c r="I376" s="1" t="s">
        <v>436</v>
      </c>
      <c r="J376" t="s">
        <v>456</v>
      </c>
      <c r="K376" s="20">
        <v>79.900000000000006</v>
      </c>
      <c r="L376">
        <f ca="1">TRUNC((TODAY()-tBase[[#This Row],[Data Nascimento]])/365)</f>
        <v>33</v>
      </c>
      <c r="M376" t="str">
        <f ca="1">HLOOKUP(tBase[[#This Row],[Idade]],$O$3:$R$4,2,TRUE)</f>
        <v>24-34</v>
      </c>
    </row>
    <row r="377" spans="2:13">
      <c r="B377" s="19">
        <v>47042740325</v>
      </c>
      <c r="C377" t="s">
        <v>292</v>
      </c>
      <c r="D377" t="s">
        <v>5</v>
      </c>
      <c r="E377" t="s">
        <v>8</v>
      </c>
      <c r="F377" t="s">
        <v>14</v>
      </c>
      <c r="G377" t="s">
        <v>425</v>
      </c>
      <c r="H377" s="1">
        <v>31830</v>
      </c>
      <c r="I377" s="1" t="s">
        <v>433</v>
      </c>
      <c r="J377" t="s">
        <v>453</v>
      </c>
      <c r="K377" s="20">
        <v>29.9</v>
      </c>
      <c r="L377">
        <f ca="1">TRUNC((TODAY()-tBase[[#This Row],[Data Nascimento]])/365)</f>
        <v>38</v>
      </c>
      <c r="M377" t="str">
        <f ca="1">HLOOKUP(tBase[[#This Row],[Idade]],$O$3:$R$4,2,TRUE)</f>
        <v>35 - 44</v>
      </c>
    </row>
    <row r="378" spans="2:13">
      <c r="B378" s="19">
        <v>47129833052</v>
      </c>
      <c r="C378" t="s">
        <v>278</v>
      </c>
      <c r="D378" t="s">
        <v>6</v>
      </c>
      <c r="E378" t="s">
        <v>417</v>
      </c>
      <c r="F378" t="s">
        <v>13</v>
      </c>
      <c r="G378" t="s">
        <v>426</v>
      </c>
      <c r="H378" s="1">
        <v>24724</v>
      </c>
      <c r="I378" s="1" t="s">
        <v>433</v>
      </c>
      <c r="J378" t="s">
        <v>455</v>
      </c>
      <c r="K378" s="20">
        <v>9.9</v>
      </c>
      <c r="L378">
        <f ca="1">TRUNC((TODAY()-tBase[[#This Row],[Data Nascimento]])/365)</f>
        <v>58</v>
      </c>
      <c r="M378" t="str">
        <f ca="1">HLOOKUP(tBase[[#This Row],[Idade]],$O$3:$R$4,2,TRUE)</f>
        <v>54-70</v>
      </c>
    </row>
    <row r="379" spans="2:13">
      <c r="B379" s="19">
        <v>47153877700</v>
      </c>
      <c r="C379" t="s">
        <v>185</v>
      </c>
      <c r="D379" t="s">
        <v>5</v>
      </c>
      <c r="E379" t="s">
        <v>7</v>
      </c>
      <c r="F379" t="s">
        <v>427</v>
      </c>
      <c r="G379" t="s">
        <v>425</v>
      </c>
      <c r="H379" s="1">
        <v>28772</v>
      </c>
      <c r="I379" s="1" t="s">
        <v>433</v>
      </c>
      <c r="J379" t="s">
        <v>454</v>
      </c>
      <c r="K379" s="20">
        <v>35.9</v>
      </c>
      <c r="L379">
        <f ca="1">TRUNC((TODAY()-tBase[[#This Row],[Data Nascimento]])/365)</f>
        <v>47</v>
      </c>
      <c r="M379" t="str">
        <f ca="1">HLOOKUP(tBase[[#This Row],[Idade]],$O$3:$R$4,2,TRUE)</f>
        <v>44 - 54</v>
      </c>
    </row>
    <row r="380" spans="2:13">
      <c r="B380" s="19">
        <v>47174082747</v>
      </c>
      <c r="C380" t="s">
        <v>124</v>
      </c>
      <c r="D380" t="s">
        <v>6</v>
      </c>
      <c r="E380" t="s">
        <v>418</v>
      </c>
      <c r="F380" t="s">
        <v>14</v>
      </c>
      <c r="G380" t="s">
        <v>425</v>
      </c>
      <c r="H380" s="1">
        <v>33910</v>
      </c>
      <c r="I380" s="1" t="s">
        <v>433</v>
      </c>
      <c r="J380" t="s">
        <v>453</v>
      </c>
      <c r="K380" s="20">
        <v>29.9</v>
      </c>
      <c r="L380">
        <f ca="1">TRUNC((TODAY()-tBase[[#This Row],[Data Nascimento]])/365)</f>
        <v>33</v>
      </c>
      <c r="M380" t="str">
        <f ca="1">HLOOKUP(tBase[[#This Row],[Idade]],$O$3:$R$4,2,TRUE)</f>
        <v>24-34</v>
      </c>
    </row>
    <row r="381" spans="2:13">
      <c r="B381" s="19">
        <v>47188953731</v>
      </c>
      <c r="C381" t="s">
        <v>185</v>
      </c>
      <c r="D381" t="s">
        <v>5</v>
      </c>
      <c r="E381" t="s">
        <v>7</v>
      </c>
      <c r="F381" t="s">
        <v>427</v>
      </c>
      <c r="G381" t="s">
        <v>425</v>
      </c>
      <c r="H381" s="1">
        <v>29434</v>
      </c>
      <c r="I381" s="1" t="s">
        <v>433</v>
      </c>
      <c r="J381" t="s">
        <v>454</v>
      </c>
      <c r="K381" s="20">
        <v>35.9</v>
      </c>
      <c r="L381">
        <f ca="1">TRUNC((TODAY()-tBase[[#This Row],[Data Nascimento]])/365)</f>
        <v>45</v>
      </c>
      <c r="M381" t="str">
        <f ca="1">HLOOKUP(tBase[[#This Row],[Idade]],$O$3:$R$4,2,TRUE)</f>
        <v>44 - 54</v>
      </c>
    </row>
    <row r="382" spans="2:13">
      <c r="B382" s="19">
        <v>47208400662</v>
      </c>
      <c r="C382" t="s">
        <v>171</v>
      </c>
      <c r="D382" t="s">
        <v>6</v>
      </c>
      <c r="E382" t="s">
        <v>416</v>
      </c>
      <c r="F382" t="s">
        <v>9</v>
      </c>
      <c r="G382" t="s">
        <v>424</v>
      </c>
      <c r="H382" s="1">
        <v>28549</v>
      </c>
      <c r="I382" s="1" t="s">
        <v>433</v>
      </c>
      <c r="J382" t="s">
        <v>455</v>
      </c>
      <c r="K382" s="20">
        <v>9.9</v>
      </c>
      <c r="L382">
        <f ca="1">TRUNC((TODAY()-tBase[[#This Row],[Data Nascimento]])/365)</f>
        <v>47</v>
      </c>
      <c r="M382" t="str">
        <f ca="1">HLOOKUP(tBase[[#This Row],[Idade]],$O$3:$R$4,2,TRUE)</f>
        <v>44 - 54</v>
      </c>
    </row>
    <row r="383" spans="2:13">
      <c r="B383" s="19">
        <v>47245946960</v>
      </c>
      <c r="C383" t="s">
        <v>19</v>
      </c>
      <c r="D383" t="s">
        <v>6</v>
      </c>
      <c r="E383" t="s">
        <v>8</v>
      </c>
      <c r="F383" t="s">
        <v>12</v>
      </c>
      <c r="G383" t="s">
        <v>426</v>
      </c>
      <c r="H383" s="1">
        <v>29352</v>
      </c>
      <c r="I383" s="1" t="s">
        <v>433</v>
      </c>
      <c r="J383" t="s">
        <v>455</v>
      </c>
      <c r="K383" s="20">
        <v>9.9</v>
      </c>
      <c r="L383">
        <f ca="1">TRUNC((TODAY()-tBase[[#This Row],[Data Nascimento]])/365)</f>
        <v>45</v>
      </c>
      <c r="M383" t="str">
        <f ca="1">HLOOKUP(tBase[[#This Row],[Idade]],$O$3:$R$4,2,TRUE)</f>
        <v>44 - 54</v>
      </c>
    </row>
    <row r="384" spans="2:13">
      <c r="B384" s="19">
        <v>47365199226</v>
      </c>
      <c r="C384" t="s">
        <v>242</v>
      </c>
      <c r="D384" t="s">
        <v>6</v>
      </c>
      <c r="E384" t="s">
        <v>8</v>
      </c>
      <c r="F384" t="s">
        <v>13</v>
      </c>
      <c r="G384" t="s">
        <v>424</v>
      </c>
      <c r="H384" s="1">
        <v>32275</v>
      </c>
      <c r="I384" s="1" t="s">
        <v>433</v>
      </c>
      <c r="J384" t="s">
        <v>456</v>
      </c>
      <c r="K384" s="20">
        <v>79.900000000000006</v>
      </c>
      <c r="L384">
        <f ca="1">TRUNC((TODAY()-tBase[[#This Row],[Data Nascimento]])/365)</f>
        <v>37</v>
      </c>
      <c r="M384" t="str">
        <f ca="1">HLOOKUP(tBase[[#This Row],[Idade]],$O$3:$R$4,2,TRUE)</f>
        <v>35 - 44</v>
      </c>
    </row>
    <row r="385" spans="2:13">
      <c r="B385" s="19">
        <v>47372471507</v>
      </c>
      <c r="C385" t="s">
        <v>271</v>
      </c>
      <c r="D385" t="s">
        <v>5</v>
      </c>
      <c r="E385" t="s">
        <v>417</v>
      </c>
      <c r="F385" t="s">
        <v>12</v>
      </c>
      <c r="G385" t="s">
        <v>424</v>
      </c>
      <c r="H385" s="1">
        <v>21726</v>
      </c>
      <c r="I385" s="1" t="s">
        <v>433</v>
      </c>
      <c r="J385" t="s">
        <v>456</v>
      </c>
      <c r="K385" s="20">
        <v>79.900000000000006</v>
      </c>
      <c r="L385">
        <f ca="1">TRUNC((TODAY()-tBase[[#This Row],[Data Nascimento]])/365)</f>
        <v>66</v>
      </c>
      <c r="M385" t="str">
        <f ca="1">HLOOKUP(tBase[[#This Row],[Idade]],$O$3:$R$4,2,TRUE)</f>
        <v>54-70</v>
      </c>
    </row>
    <row r="386" spans="2:13">
      <c r="B386" s="19">
        <v>47393301586</v>
      </c>
      <c r="C386" t="s">
        <v>213</v>
      </c>
      <c r="D386" t="s">
        <v>6</v>
      </c>
      <c r="E386" t="s">
        <v>7</v>
      </c>
      <c r="F386" t="s">
        <v>427</v>
      </c>
      <c r="G386" t="s">
        <v>424</v>
      </c>
      <c r="H386" s="1">
        <v>34327</v>
      </c>
      <c r="I386" s="1" t="s">
        <v>429</v>
      </c>
      <c r="J386" t="s">
        <v>455</v>
      </c>
      <c r="K386" s="20">
        <v>9.9</v>
      </c>
      <c r="L386">
        <f ca="1">TRUNC((TODAY()-tBase[[#This Row],[Data Nascimento]])/365)</f>
        <v>32</v>
      </c>
      <c r="M386" t="str">
        <f ca="1">HLOOKUP(tBase[[#This Row],[Idade]],$O$3:$R$4,2,TRUE)</f>
        <v>24-34</v>
      </c>
    </row>
    <row r="387" spans="2:13">
      <c r="B387" s="19">
        <v>47497279533</v>
      </c>
      <c r="C387" t="s">
        <v>103</v>
      </c>
      <c r="D387" t="s">
        <v>6</v>
      </c>
      <c r="E387" t="s">
        <v>7</v>
      </c>
      <c r="F387" t="s">
        <v>12</v>
      </c>
      <c r="G387" t="s">
        <v>425</v>
      </c>
      <c r="H387" s="1">
        <v>31175</v>
      </c>
      <c r="I387" s="1" t="s">
        <v>432</v>
      </c>
      <c r="J387" t="s">
        <v>456</v>
      </c>
      <c r="K387" s="20">
        <v>79.900000000000006</v>
      </c>
      <c r="L387">
        <f ca="1">TRUNC((TODAY()-tBase[[#This Row],[Data Nascimento]])/365)</f>
        <v>40</v>
      </c>
      <c r="M387" t="str">
        <f ca="1">HLOOKUP(tBase[[#This Row],[Idade]],$O$3:$R$4,2,TRUE)</f>
        <v>35 - 44</v>
      </c>
    </row>
    <row r="388" spans="2:13">
      <c r="B388" s="19">
        <v>47514609560</v>
      </c>
      <c r="C388" t="s">
        <v>360</v>
      </c>
      <c r="D388" t="s">
        <v>6</v>
      </c>
      <c r="E388" t="s">
        <v>7</v>
      </c>
      <c r="F388" t="s">
        <v>13</v>
      </c>
      <c r="G388" t="s">
        <v>426</v>
      </c>
      <c r="H388" s="1">
        <v>22192</v>
      </c>
      <c r="I388" s="1" t="s">
        <v>436</v>
      </c>
      <c r="J388" t="s">
        <v>454</v>
      </c>
      <c r="K388" s="20">
        <v>35.9</v>
      </c>
      <c r="L388">
        <f ca="1">TRUNC((TODAY()-tBase[[#This Row],[Data Nascimento]])/365)</f>
        <v>65</v>
      </c>
      <c r="M388" t="str">
        <f ca="1">HLOOKUP(tBase[[#This Row],[Idade]],$O$3:$R$4,2,TRUE)</f>
        <v>54-70</v>
      </c>
    </row>
    <row r="389" spans="2:13">
      <c r="B389" s="19">
        <v>47564971365</v>
      </c>
      <c r="C389" t="s">
        <v>23</v>
      </c>
      <c r="D389" t="s">
        <v>6</v>
      </c>
      <c r="E389" t="s">
        <v>7</v>
      </c>
      <c r="F389" t="s">
        <v>427</v>
      </c>
      <c r="G389" t="s">
        <v>424</v>
      </c>
      <c r="H389" s="1">
        <v>30642</v>
      </c>
      <c r="I389" s="1" t="s">
        <v>436</v>
      </c>
      <c r="J389" t="s">
        <v>453</v>
      </c>
      <c r="K389" s="20">
        <v>29.9</v>
      </c>
      <c r="L389">
        <f ca="1">TRUNC((TODAY()-tBase[[#This Row],[Data Nascimento]])/365)</f>
        <v>42</v>
      </c>
      <c r="M389" t="str">
        <f ca="1">HLOOKUP(tBase[[#This Row],[Idade]],$O$3:$R$4,2,TRUE)</f>
        <v>35 - 44</v>
      </c>
    </row>
    <row r="390" spans="2:13">
      <c r="B390" s="19">
        <v>47725755906</v>
      </c>
      <c r="C390" t="s">
        <v>220</v>
      </c>
      <c r="D390" t="s">
        <v>6</v>
      </c>
      <c r="E390" t="s">
        <v>7</v>
      </c>
      <c r="F390" t="s">
        <v>14</v>
      </c>
      <c r="G390" t="s">
        <v>425</v>
      </c>
      <c r="H390" s="1">
        <v>32268</v>
      </c>
      <c r="I390" s="1" t="s">
        <v>436</v>
      </c>
      <c r="J390" t="s">
        <v>453</v>
      </c>
      <c r="K390" s="20">
        <v>29.9</v>
      </c>
      <c r="L390">
        <f ca="1">TRUNC((TODAY()-tBase[[#This Row],[Data Nascimento]])/365)</f>
        <v>37</v>
      </c>
      <c r="M390" t="str">
        <f ca="1">HLOOKUP(tBase[[#This Row],[Idade]],$O$3:$R$4,2,TRUE)</f>
        <v>35 - 44</v>
      </c>
    </row>
    <row r="391" spans="2:13">
      <c r="B391" s="19">
        <v>47745382527</v>
      </c>
      <c r="C391" t="s">
        <v>260</v>
      </c>
      <c r="D391" t="s">
        <v>6</v>
      </c>
      <c r="E391" t="s">
        <v>7</v>
      </c>
      <c r="F391" t="s">
        <v>13</v>
      </c>
      <c r="G391" t="s">
        <v>425</v>
      </c>
      <c r="H391" s="1">
        <v>32073</v>
      </c>
      <c r="I391" s="1" t="s">
        <v>436</v>
      </c>
      <c r="J391" t="s">
        <v>455</v>
      </c>
      <c r="K391" s="20">
        <v>9.9</v>
      </c>
      <c r="L391">
        <f ca="1">TRUNC((TODAY()-tBase[[#This Row],[Data Nascimento]])/365)</f>
        <v>38</v>
      </c>
      <c r="M391" t="str">
        <f ca="1">HLOOKUP(tBase[[#This Row],[Idade]],$O$3:$R$4,2,TRUE)</f>
        <v>35 - 44</v>
      </c>
    </row>
    <row r="392" spans="2:13">
      <c r="B392" s="19">
        <v>47840676137</v>
      </c>
      <c r="C392" t="s">
        <v>342</v>
      </c>
      <c r="D392" t="s">
        <v>6</v>
      </c>
      <c r="E392" t="s">
        <v>8</v>
      </c>
      <c r="F392" t="s">
        <v>11</v>
      </c>
      <c r="G392" t="s">
        <v>424</v>
      </c>
      <c r="H392" s="1">
        <v>23864</v>
      </c>
      <c r="I392" s="1" t="s">
        <v>436</v>
      </c>
      <c r="J392" t="s">
        <v>456</v>
      </c>
      <c r="K392" s="20">
        <v>79.900000000000006</v>
      </c>
      <c r="L392">
        <f ca="1">TRUNC((TODAY()-tBase[[#This Row],[Data Nascimento]])/365)</f>
        <v>60</v>
      </c>
      <c r="M392" t="str">
        <f ca="1">HLOOKUP(tBase[[#This Row],[Idade]],$O$3:$R$4,2,TRUE)</f>
        <v>54-70</v>
      </c>
    </row>
    <row r="393" spans="2:13">
      <c r="B393" s="19">
        <v>47885298863</v>
      </c>
      <c r="C393" t="s">
        <v>333</v>
      </c>
      <c r="D393" t="s">
        <v>5</v>
      </c>
      <c r="E393" t="s">
        <v>7</v>
      </c>
      <c r="F393" t="s">
        <v>427</v>
      </c>
      <c r="G393" t="s">
        <v>424</v>
      </c>
      <c r="H393" s="1">
        <v>25907</v>
      </c>
      <c r="I393" s="1" t="s">
        <v>436</v>
      </c>
      <c r="J393" t="s">
        <v>455</v>
      </c>
      <c r="K393" s="20">
        <v>9.9</v>
      </c>
      <c r="L393">
        <f ca="1">TRUNC((TODAY()-tBase[[#This Row],[Data Nascimento]])/365)</f>
        <v>55</v>
      </c>
      <c r="M393" t="str">
        <f ca="1">HLOOKUP(tBase[[#This Row],[Idade]],$O$3:$R$4,2,TRUE)</f>
        <v>54-70</v>
      </c>
    </row>
    <row r="394" spans="2:13">
      <c r="B394" s="19">
        <v>47922430248</v>
      </c>
      <c r="C394" t="s">
        <v>105</v>
      </c>
      <c r="D394" t="s">
        <v>6</v>
      </c>
      <c r="E394" t="s">
        <v>7</v>
      </c>
      <c r="F394" t="s">
        <v>427</v>
      </c>
      <c r="G394" t="s">
        <v>425</v>
      </c>
      <c r="H394" s="1">
        <v>24578</v>
      </c>
      <c r="I394" s="1" t="s">
        <v>435</v>
      </c>
      <c r="J394" t="s">
        <v>455</v>
      </c>
      <c r="K394" s="20">
        <v>9.9</v>
      </c>
      <c r="L394">
        <f ca="1">TRUNC((TODAY()-tBase[[#This Row],[Data Nascimento]])/365)</f>
        <v>58</v>
      </c>
      <c r="M394" t="str">
        <f ca="1">HLOOKUP(tBase[[#This Row],[Idade]],$O$3:$R$4,2,TRUE)</f>
        <v>54-70</v>
      </c>
    </row>
    <row r="395" spans="2:13">
      <c r="B395" s="19">
        <v>47979032104</v>
      </c>
      <c r="C395" t="s">
        <v>166</v>
      </c>
      <c r="D395" t="s">
        <v>5</v>
      </c>
      <c r="E395" t="s">
        <v>417</v>
      </c>
      <c r="F395" t="s">
        <v>427</v>
      </c>
      <c r="G395" t="s">
        <v>426</v>
      </c>
      <c r="H395" s="1">
        <v>25909</v>
      </c>
      <c r="I395" s="1" t="s">
        <v>433</v>
      </c>
      <c r="J395" t="s">
        <v>453</v>
      </c>
      <c r="K395" s="20">
        <v>29.9</v>
      </c>
      <c r="L395">
        <f ca="1">TRUNC((TODAY()-tBase[[#This Row],[Data Nascimento]])/365)</f>
        <v>55</v>
      </c>
      <c r="M395" t="str">
        <f ca="1">HLOOKUP(tBase[[#This Row],[Idade]],$O$3:$R$4,2,TRUE)</f>
        <v>54-70</v>
      </c>
    </row>
    <row r="396" spans="2:13">
      <c r="B396" s="19">
        <v>48007068927</v>
      </c>
      <c r="C396" t="s">
        <v>349</v>
      </c>
      <c r="D396" t="s">
        <v>5</v>
      </c>
      <c r="E396" t="s">
        <v>8</v>
      </c>
      <c r="F396" t="s">
        <v>427</v>
      </c>
      <c r="G396" t="s">
        <v>426</v>
      </c>
      <c r="H396" s="1">
        <v>30373</v>
      </c>
      <c r="I396" s="1" t="s">
        <v>433</v>
      </c>
      <c r="J396" t="s">
        <v>454</v>
      </c>
      <c r="K396" s="20">
        <v>35.9</v>
      </c>
      <c r="L396">
        <f ca="1">TRUNC((TODAY()-tBase[[#This Row],[Data Nascimento]])/365)</f>
        <v>42</v>
      </c>
      <c r="M396" t="str">
        <f ca="1">HLOOKUP(tBase[[#This Row],[Idade]],$O$3:$R$4,2,TRUE)</f>
        <v>35 - 44</v>
      </c>
    </row>
    <row r="397" spans="2:13">
      <c r="B397" s="19">
        <v>48217353343</v>
      </c>
      <c r="C397" t="s">
        <v>408</v>
      </c>
      <c r="D397" t="s">
        <v>5</v>
      </c>
      <c r="E397" t="s">
        <v>416</v>
      </c>
      <c r="F397" t="s">
        <v>13</v>
      </c>
      <c r="G397" t="s">
        <v>425</v>
      </c>
      <c r="H397" s="1">
        <v>22133</v>
      </c>
      <c r="I397" s="1" t="s">
        <v>433</v>
      </c>
      <c r="J397" t="s">
        <v>454</v>
      </c>
      <c r="K397" s="20">
        <v>35.9</v>
      </c>
      <c r="L397">
        <f ca="1">TRUNC((TODAY()-tBase[[#This Row],[Data Nascimento]])/365)</f>
        <v>65</v>
      </c>
      <c r="M397" t="str">
        <f ca="1">HLOOKUP(tBase[[#This Row],[Idade]],$O$3:$R$4,2,TRUE)</f>
        <v>54-70</v>
      </c>
    </row>
    <row r="398" spans="2:13">
      <c r="B398" s="19">
        <v>48338358825</v>
      </c>
      <c r="C398" t="s">
        <v>115</v>
      </c>
      <c r="D398" t="s">
        <v>5</v>
      </c>
      <c r="E398" t="s">
        <v>417</v>
      </c>
      <c r="F398" t="s">
        <v>12</v>
      </c>
      <c r="G398" t="s">
        <v>425</v>
      </c>
      <c r="H398" s="1">
        <v>32578</v>
      </c>
      <c r="I398" s="1" t="s">
        <v>433</v>
      </c>
      <c r="J398" t="s">
        <v>455</v>
      </c>
      <c r="K398" s="20">
        <v>9.9</v>
      </c>
      <c r="L398">
        <f ca="1">TRUNC((TODAY()-tBase[[#This Row],[Data Nascimento]])/365)</f>
        <v>36</v>
      </c>
      <c r="M398" t="str">
        <f ca="1">HLOOKUP(tBase[[#This Row],[Idade]],$O$3:$R$4,2,TRUE)</f>
        <v>35 - 44</v>
      </c>
    </row>
    <row r="399" spans="2:13">
      <c r="B399" s="19">
        <v>48432971475</v>
      </c>
      <c r="C399" t="s">
        <v>88</v>
      </c>
      <c r="D399" t="s">
        <v>5</v>
      </c>
      <c r="E399" t="s">
        <v>416</v>
      </c>
      <c r="F399" t="s">
        <v>14</v>
      </c>
      <c r="G399" t="s">
        <v>425</v>
      </c>
      <c r="H399" s="1">
        <v>22096</v>
      </c>
      <c r="I399" s="1" t="s">
        <v>433</v>
      </c>
      <c r="J399" t="s">
        <v>455</v>
      </c>
      <c r="K399" s="20">
        <v>9.9</v>
      </c>
      <c r="L399">
        <f ca="1">TRUNC((TODAY()-tBase[[#This Row],[Data Nascimento]])/365)</f>
        <v>65</v>
      </c>
      <c r="M399" t="str">
        <f ca="1">HLOOKUP(tBase[[#This Row],[Idade]],$O$3:$R$4,2,TRUE)</f>
        <v>54-70</v>
      </c>
    </row>
    <row r="400" spans="2:13">
      <c r="B400" s="19">
        <v>48460714260</v>
      </c>
      <c r="C400" t="s">
        <v>230</v>
      </c>
      <c r="D400" t="s">
        <v>6</v>
      </c>
      <c r="E400" t="s">
        <v>7</v>
      </c>
      <c r="F400" t="s">
        <v>13</v>
      </c>
      <c r="G400" t="s">
        <v>426</v>
      </c>
      <c r="H400" s="1">
        <v>29222</v>
      </c>
      <c r="I400" s="1" t="s">
        <v>430</v>
      </c>
      <c r="J400" t="s">
        <v>455</v>
      </c>
      <c r="K400" s="20">
        <v>9.9</v>
      </c>
      <c r="L400">
        <f ca="1">TRUNC((TODAY()-tBase[[#This Row],[Data Nascimento]])/365)</f>
        <v>46</v>
      </c>
      <c r="M400" t="str">
        <f ca="1">HLOOKUP(tBase[[#This Row],[Idade]],$O$3:$R$4,2,TRUE)</f>
        <v>44 - 54</v>
      </c>
    </row>
    <row r="401" spans="2:13">
      <c r="B401" s="19">
        <v>48465087625</v>
      </c>
      <c r="C401" t="s">
        <v>121</v>
      </c>
      <c r="D401" t="s">
        <v>6</v>
      </c>
      <c r="E401" t="s">
        <v>417</v>
      </c>
      <c r="F401" t="s">
        <v>12</v>
      </c>
      <c r="G401" t="s">
        <v>425</v>
      </c>
      <c r="H401" s="1">
        <v>33148</v>
      </c>
      <c r="I401" s="1" t="s">
        <v>429</v>
      </c>
      <c r="J401" t="s">
        <v>454</v>
      </c>
      <c r="K401" s="20">
        <v>35.9</v>
      </c>
      <c r="L401">
        <f ca="1">TRUNC((TODAY()-tBase[[#This Row],[Data Nascimento]])/365)</f>
        <v>35</v>
      </c>
      <c r="M401" t="str">
        <f ca="1">HLOOKUP(tBase[[#This Row],[Idade]],$O$3:$R$4,2,TRUE)</f>
        <v>35 - 44</v>
      </c>
    </row>
    <row r="402" spans="2:13">
      <c r="B402" s="19">
        <v>48537217226</v>
      </c>
      <c r="C402" t="s">
        <v>73</v>
      </c>
      <c r="D402" t="s">
        <v>6</v>
      </c>
      <c r="E402" t="s">
        <v>7</v>
      </c>
      <c r="F402" t="s">
        <v>12</v>
      </c>
      <c r="G402" t="s">
        <v>424</v>
      </c>
      <c r="H402" s="1">
        <v>29697</v>
      </c>
      <c r="I402" s="1" t="s">
        <v>431</v>
      </c>
      <c r="J402" t="s">
        <v>454</v>
      </c>
      <c r="K402" s="20">
        <v>35.9</v>
      </c>
      <c r="L402">
        <f ca="1">TRUNC((TODAY()-tBase[[#This Row],[Data Nascimento]])/365)</f>
        <v>44</v>
      </c>
      <c r="M402" t="str">
        <f ca="1">HLOOKUP(tBase[[#This Row],[Idade]],$O$3:$R$4,2,TRUE)</f>
        <v>44 - 54</v>
      </c>
    </row>
    <row r="403" spans="2:13">
      <c r="B403" s="19">
        <v>48554358741</v>
      </c>
      <c r="C403" t="s">
        <v>165</v>
      </c>
      <c r="D403" t="s">
        <v>5</v>
      </c>
      <c r="E403" t="s">
        <v>7</v>
      </c>
      <c r="F403" t="s">
        <v>427</v>
      </c>
      <c r="G403" t="s">
        <v>425</v>
      </c>
      <c r="H403" s="1">
        <v>24514</v>
      </c>
      <c r="I403" s="1" t="s">
        <v>432</v>
      </c>
      <c r="J403" t="s">
        <v>455</v>
      </c>
      <c r="K403" s="20">
        <v>9.9</v>
      </c>
      <c r="L403">
        <f ca="1">TRUNC((TODAY()-tBase[[#This Row],[Data Nascimento]])/365)</f>
        <v>59</v>
      </c>
      <c r="M403" t="str">
        <f ca="1">HLOOKUP(tBase[[#This Row],[Idade]],$O$3:$R$4,2,TRUE)</f>
        <v>54-70</v>
      </c>
    </row>
    <row r="404" spans="2:13">
      <c r="B404" s="19">
        <v>48559982420</v>
      </c>
      <c r="C404" t="s">
        <v>93</v>
      </c>
      <c r="D404" t="s">
        <v>6</v>
      </c>
      <c r="E404" t="s">
        <v>7</v>
      </c>
      <c r="F404" t="s">
        <v>427</v>
      </c>
      <c r="G404" t="s">
        <v>424</v>
      </c>
      <c r="H404" s="1">
        <v>23769</v>
      </c>
      <c r="I404" s="1" t="s">
        <v>434</v>
      </c>
      <c r="J404" t="s">
        <v>455</v>
      </c>
      <c r="K404" s="20">
        <v>9.9</v>
      </c>
      <c r="L404">
        <f ca="1">TRUNC((TODAY()-tBase[[#This Row],[Data Nascimento]])/365)</f>
        <v>61</v>
      </c>
      <c r="M404" t="str">
        <f ca="1">HLOOKUP(tBase[[#This Row],[Idade]],$O$3:$R$4,2,TRUE)</f>
        <v>54-70</v>
      </c>
    </row>
    <row r="405" spans="2:13">
      <c r="B405" s="19">
        <v>48647651375</v>
      </c>
      <c r="C405" t="s">
        <v>374</v>
      </c>
      <c r="D405" t="s">
        <v>5</v>
      </c>
      <c r="E405" t="s">
        <v>417</v>
      </c>
      <c r="F405" t="s">
        <v>13</v>
      </c>
      <c r="G405" t="s">
        <v>425</v>
      </c>
      <c r="H405" s="1">
        <v>22072</v>
      </c>
      <c r="I405" s="1" t="s">
        <v>430</v>
      </c>
      <c r="J405" t="s">
        <v>455</v>
      </c>
      <c r="K405" s="20">
        <v>9.9</v>
      </c>
      <c r="L405">
        <f ca="1">TRUNC((TODAY()-tBase[[#This Row],[Data Nascimento]])/365)</f>
        <v>65</v>
      </c>
      <c r="M405" t="str">
        <f ca="1">HLOOKUP(tBase[[#This Row],[Idade]],$O$3:$R$4,2,TRUE)</f>
        <v>54-70</v>
      </c>
    </row>
    <row r="406" spans="2:13">
      <c r="B406" s="19">
        <v>48711816230</v>
      </c>
      <c r="C406" t="s">
        <v>161</v>
      </c>
      <c r="D406" t="s">
        <v>5</v>
      </c>
      <c r="E406" t="s">
        <v>417</v>
      </c>
      <c r="F406" t="s">
        <v>427</v>
      </c>
      <c r="G406" t="s">
        <v>425</v>
      </c>
      <c r="H406" s="1">
        <v>21718</v>
      </c>
      <c r="I406" s="1" t="s">
        <v>435</v>
      </c>
      <c r="J406" t="s">
        <v>454</v>
      </c>
      <c r="K406" s="20">
        <v>35.9</v>
      </c>
      <c r="L406">
        <f ca="1">TRUNC((TODAY()-tBase[[#This Row],[Data Nascimento]])/365)</f>
        <v>66</v>
      </c>
      <c r="M406" t="str">
        <f ca="1">HLOOKUP(tBase[[#This Row],[Idade]],$O$3:$R$4,2,TRUE)</f>
        <v>54-70</v>
      </c>
    </row>
    <row r="407" spans="2:13">
      <c r="B407" s="19">
        <v>48816102229</v>
      </c>
      <c r="C407" t="s">
        <v>385</v>
      </c>
      <c r="D407" t="s">
        <v>6</v>
      </c>
      <c r="E407" t="s">
        <v>7</v>
      </c>
      <c r="F407" t="s">
        <v>12</v>
      </c>
      <c r="G407" t="s">
        <v>425</v>
      </c>
      <c r="H407" s="1">
        <v>29339</v>
      </c>
      <c r="I407" s="1" t="s">
        <v>436</v>
      </c>
      <c r="J407" t="s">
        <v>454</v>
      </c>
      <c r="K407" s="20">
        <v>35.9</v>
      </c>
      <c r="L407">
        <f ca="1">TRUNC((TODAY()-tBase[[#This Row],[Data Nascimento]])/365)</f>
        <v>45</v>
      </c>
      <c r="M407" t="str">
        <f ca="1">HLOOKUP(tBase[[#This Row],[Idade]],$O$3:$R$4,2,TRUE)</f>
        <v>44 - 54</v>
      </c>
    </row>
    <row r="408" spans="2:13">
      <c r="B408" s="19">
        <v>48822792088</v>
      </c>
      <c r="C408" t="s">
        <v>57</v>
      </c>
      <c r="D408" t="s">
        <v>6</v>
      </c>
      <c r="E408" t="s">
        <v>7</v>
      </c>
      <c r="F408" t="s">
        <v>427</v>
      </c>
      <c r="G408" t="s">
        <v>425</v>
      </c>
      <c r="H408" s="1">
        <v>30743</v>
      </c>
      <c r="I408" s="1" t="s">
        <v>430</v>
      </c>
      <c r="J408" t="s">
        <v>455</v>
      </c>
      <c r="K408" s="20">
        <v>9.9</v>
      </c>
      <c r="L408">
        <f ca="1">TRUNC((TODAY()-tBase[[#This Row],[Data Nascimento]])/365)</f>
        <v>41</v>
      </c>
      <c r="M408" t="str">
        <f ca="1">HLOOKUP(tBase[[#This Row],[Idade]],$O$3:$R$4,2,TRUE)</f>
        <v>35 - 44</v>
      </c>
    </row>
    <row r="409" spans="2:13">
      <c r="B409" s="19">
        <v>48910175046</v>
      </c>
      <c r="C409" t="s">
        <v>24</v>
      </c>
      <c r="D409" t="s">
        <v>5</v>
      </c>
      <c r="E409" t="s">
        <v>417</v>
      </c>
      <c r="F409" t="s">
        <v>13</v>
      </c>
      <c r="G409" t="s">
        <v>425</v>
      </c>
      <c r="H409" s="1">
        <v>22039</v>
      </c>
      <c r="I409" s="1" t="s">
        <v>435</v>
      </c>
      <c r="J409" t="s">
        <v>454</v>
      </c>
      <c r="K409" s="20">
        <v>35.9</v>
      </c>
      <c r="L409">
        <f ca="1">TRUNC((TODAY()-tBase[[#This Row],[Data Nascimento]])/365)</f>
        <v>65</v>
      </c>
      <c r="M409" t="str">
        <f ca="1">HLOOKUP(tBase[[#This Row],[Idade]],$O$3:$R$4,2,TRUE)</f>
        <v>54-70</v>
      </c>
    </row>
    <row r="410" spans="2:13">
      <c r="B410" s="19">
        <v>48925097810</v>
      </c>
      <c r="C410" t="s">
        <v>167</v>
      </c>
      <c r="D410" t="s">
        <v>6</v>
      </c>
      <c r="E410" t="s">
        <v>7</v>
      </c>
      <c r="F410" t="s">
        <v>427</v>
      </c>
      <c r="G410" t="s">
        <v>425</v>
      </c>
      <c r="H410" s="1">
        <v>21803</v>
      </c>
      <c r="I410" s="1" t="s">
        <v>436</v>
      </c>
      <c r="J410" t="s">
        <v>453</v>
      </c>
      <c r="K410" s="20">
        <v>29.9</v>
      </c>
      <c r="L410">
        <f ca="1">TRUNC((TODAY()-tBase[[#This Row],[Data Nascimento]])/365)</f>
        <v>66</v>
      </c>
      <c r="M410" t="str">
        <f ca="1">HLOOKUP(tBase[[#This Row],[Idade]],$O$3:$R$4,2,TRUE)</f>
        <v>54-70</v>
      </c>
    </row>
    <row r="411" spans="2:13">
      <c r="B411" s="19">
        <v>49017327941</v>
      </c>
      <c r="C411" t="s">
        <v>311</v>
      </c>
      <c r="D411" t="s">
        <v>5</v>
      </c>
      <c r="E411" t="s">
        <v>417</v>
      </c>
      <c r="F411" t="s">
        <v>427</v>
      </c>
      <c r="G411" t="s">
        <v>424</v>
      </c>
      <c r="H411" s="1">
        <v>26953</v>
      </c>
      <c r="I411" s="1" t="s">
        <v>433</v>
      </c>
      <c r="J411" t="s">
        <v>453</v>
      </c>
      <c r="K411" s="20">
        <v>29.9</v>
      </c>
      <c r="L411">
        <f ca="1">TRUNC((TODAY()-tBase[[#This Row],[Data Nascimento]])/365)</f>
        <v>52</v>
      </c>
      <c r="M411" t="str">
        <f ca="1">HLOOKUP(tBase[[#This Row],[Idade]],$O$3:$R$4,2,TRUE)</f>
        <v>44 - 54</v>
      </c>
    </row>
    <row r="412" spans="2:13">
      <c r="B412" s="19">
        <v>49141215224</v>
      </c>
      <c r="C412" t="s">
        <v>133</v>
      </c>
      <c r="D412" t="s">
        <v>6</v>
      </c>
      <c r="E412" t="s">
        <v>7</v>
      </c>
      <c r="F412" t="s">
        <v>427</v>
      </c>
      <c r="G412" t="s">
        <v>424</v>
      </c>
      <c r="H412" s="1">
        <v>20251</v>
      </c>
      <c r="I412" s="1" t="s">
        <v>433</v>
      </c>
      <c r="J412" t="s">
        <v>454</v>
      </c>
      <c r="K412" s="20">
        <v>35.9</v>
      </c>
      <c r="L412">
        <f ca="1">TRUNC((TODAY()-tBase[[#This Row],[Data Nascimento]])/365)</f>
        <v>70</v>
      </c>
      <c r="M412" t="str">
        <f ca="1">HLOOKUP(tBase[[#This Row],[Idade]],$O$3:$R$4,2,TRUE)</f>
        <v>54-70</v>
      </c>
    </row>
    <row r="413" spans="2:13">
      <c r="B413" s="19">
        <v>49215142467</v>
      </c>
      <c r="C413" t="s">
        <v>412</v>
      </c>
      <c r="D413" t="s">
        <v>5</v>
      </c>
      <c r="E413" t="s">
        <v>8</v>
      </c>
      <c r="F413" t="s">
        <v>14</v>
      </c>
      <c r="G413" t="s">
        <v>425</v>
      </c>
      <c r="H413" s="1">
        <v>32154</v>
      </c>
      <c r="I413" s="1" t="s">
        <v>433</v>
      </c>
      <c r="J413" t="s">
        <v>453</v>
      </c>
      <c r="K413" s="20">
        <v>29.9</v>
      </c>
      <c r="L413">
        <f ca="1">TRUNC((TODAY()-tBase[[#This Row],[Data Nascimento]])/365)</f>
        <v>38</v>
      </c>
      <c r="M413" t="str">
        <f ca="1">HLOOKUP(tBase[[#This Row],[Idade]],$O$3:$R$4,2,TRUE)</f>
        <v>35 - 44</v>
      </c>
    </row>
    <row r="414" spans="2:13">
      <c r="B414" s="19">
        <v>49266952999</v>
      </c>
      <c r="C414" t="s">
        <v>192</v>
      </c>
      <c r="D414" t="s">
        <v>5</v>
      </c>
      <c r="E414" t="s">
        <v>8</v>
      </c>
      <c r="F414" t="s">
        <v>13</v>
      </c>
      <c r="G414" t="s">
        <v>425</v>
      </c>
      <c r="H414" s="1">
        <v>28665</v>
      </c>
      <c r="I414" s="1" t="s">
        <v>433</v>
      </c>
      <c r="J414" t="s">
        <v>454</v>
      </c>
      <c r="K414" s="20">
        <v>35.9</v>
      </c>
      <c r="L414">
        <f ca="1">TRUNC((TODAY()-tBase[[#This Row],[Data Nascimento]])/365)</f>
        <v>47</v>
      </c>
      <c r="M414" t="str">
        <f ca="1">HLOOKUP(tBase[[#This Row],[Idade]],$O$3:$R$4,2,TRUE)</f>
        <v>44 - 54</v>
      </c>
    </row>
    <row r="415" spans="2:13">
      <c r="B415" s="19">
        <v>49280389108</v>
      </c>
      <c r="C415" t="s">
        <v>370</v>
      </c>
      <c r="D415" t="s">
        <v>5</v>
      </c>
      <c r="E415" t="s">
        <v>7</v>
      </c>
      <c r="F415" t="s">
        <v>14</v>
      </c>
      <c r="G415" t="s">
        <v>426</v>
      </c>
      <c r="H415" s="1">
        <v>20919</v>
      </c>
      <c r="I415" s="1" t="s">
        <v>433</v>
      </c>
      <c r="J415" t="s">
        <v>453</v>
      </c>
      <c r="K415" s="20">
        <v>29.9</v>
      </c>
      <c r="L415">
        <f ca="1">TRUNC((TODAY()-tBase[[#This Row],[Data Nascimento]])/365)</f>
        <v>68</v>
      </c>
      <c r="M415" t="str">
        <f ca="1">HLOOKUP(tBase[[#This Row],[Idade]],$O$3:$R$4,2,TRUE)</f>
        <v>54-70</v>
      </c>
    </row>
    <row r="416" spans="2:13">
      <c r="B416" s="19">
        <v>49281927823</v>
      </c>
      <c r="C416" t="s">
        <v>378</v>
      </c>
      <c r="D416" t="s">
        <v>5</v>
      </c>
      <c r="E416" t="s">
        <v>417</v>
      </c>
      <c r="F416" t="s">
        <v>11</v>
      </c>
      <c r="G416" t="s">
        <v>426</v>
      </c>
      <c r="H416" s="1">
        <v>34329</v>
      </c>
      <c r="I416" s="1" t="s">
        <v>433</v>
      </c>
      <c r="J416" t="s">
        <v>456</v>
      </c>
      <c r="K416" s="20">
        <v>79.900000000000006</v>
      </c>
      <c r="L416">
        <f ca="1">TRUNC((TODAY()-tBase[[#This Row],[Data Nascimento]])/365)</f>
        <v>32</v>
      </c>
      <c r="M416" t="str">
        <f ca="1">HLOOKUP(tBase[[#This Row],[Idade]],$O$3:$R$4,2,TRUE)</f>
        <v>24-34</v>
      </c>
    </row>
    <row r="417" spans="2:13">
      <c r="B417" s="19">
        <v>49300310285</v>
      </c>
      <c r="C417" t="s">
        <v>223</v>
      </c>
      <c r="D417" t="s">
        <v>5</v>
      </c>
      <c r="E417" t="s">
        <v>7</v>
      </c>
      <c r="F417" t="s">
        <v>12</v>
      </c>
      <c r="G417" t="s">
        <v>424</v>
      </c>
      <c r="H417" s="1">
        <v>26262</v>
      </c>
      <c r="I417" s="1" t="s">
        <v>433</v>
      </c>
      <c r="J417" t="s">
        <v>456</v>
      </c>
      <c r="K417" s="20">
        <v>79.900000000000006</v>
      </c>
      <c r="L417">
        <f ca="1">TRUNC((TODAY()-tBase[[#This Row],[Data Nascimento]])/365)</f>
        <v>54</v>
      </c>
      <c r="M417" t="str">
        <f ca="1">HLOOKUP(tBase[[#This Row],[Idade]],$O$3:$R$4,2,TRUE)</f>
        <v>54-70</v>
      </c>
    </row>
    <row r="418" spans="2:13">
      <c r="B418" s="19">
        <v>49307528124</v>
      </c>
      <c r="C418" t="s">
        <v>331</v>
      </c>
      <c r="D418" t="s">
        <v>5</v>
      </c>
      <c r="E418" t="s">
        <v>416</v>
      </c>
      <c r="F418" t="s">
        <v>12</v>
      </c>
      <c r="G418" t="s">
        <v>424</v>
      </c>
      <c r="H418" s="1">
        <v>31963</v>
      </c>
      <c r="I418" s="1" t="s">
        <v>433</v>
      </c>
      <c r="J418" t="s">
        <v>455</v>
      </c>
      <c r="K418" s="20">
        <v>9.9</v>
      </c>
      <c r="L418">
        <f ca="1">TRUNC((TODAY()-tBase[[#This Row],[Data Nascimento]])/365)</f>
        <v>38</v>
      </c>
      <c r="M418" t="str">
        <f ca="1">HLOOKUP(tBase[[#This Row],[Idade]],$O$3:$R$4,2,TRUE)</f>
        <v>35 - 44</v>
      </c>
    </row>
    <row r="419" spans="2:13">
      <c r="B419" s="19">
        <v>49328439074</v>
      </c>
      <c r="C419" t="s">
        <v>371</v>
      </c>
      <c r="D419" t="s">
        <v>6</v>
      </c>
      <c r="E419" t="s">
        <v>416</v>
      </c>
      <c r="F419" t="s">
        <v>13</v>
      </c>
      <c r="G419" t="s">
        <v>424</v>
      </c>
      <c r="H419" s="1">
        <v>30361</v>
      </c>
      <c r="I419" s="1" t="s">
        <v>433</v>
      </c>
      <c r="J419" t="s">
        <v>453</v>
      </c>
      <c r="K419" s="20">
        <v>29.9</v>
      </c>
      <c r="L419">
        <f ca="1">TRUNC((TODAY()-tBase[[#This Row],[Data Nascimento]])/365)</f>
        <v>42</v>
      </c>
      <c r="M419" t="str">
        <f ca="1">HLOOKUP(tBase[[#This Row],[Idade]],$O$3:$R$4,2,TRUE)</f>
        <v>35 - 44</v>
      </c>
    </row>
    <row r="420" spans="2:13">
      <c r="B420" s="19">
        <v>49391829352</v>
      </c>
      <c r="C420" t="s">
        <v>96</v>
      </c>
      <c r="D420" t="s">
        <v>6</v>
      </c>
      <c r="E420" t="s">
        <v>7</v>
      </c>
      <c r="F420" t="s">
        <v>13</v>
      </c>
      <c r="G420" t="s">
        <v>426</v>
      </c>
      <c r="H420" s="1">
        <v>30122</v>
      </c>
      <c r="I420" s="1" t="s">
        <v>429</v>
      </c>
      <c r="J420" t="s">
        <v>454</v>
      </c>
      <c r="K420" s="20">
        <v>35.9</v>
      </c>
      <c r="L420">
        <f ca="1">TRUNC((TODAY()-tBase[[#This Row],[Data Nascimento]])/365)</f>
        <v>43</v>
      </c>
      <c r="M420" t="str">
        <f ca="1">HLOOKUP(tBase[[#This Row],[Idade]],$O$3:$R$4,2,TRUE)</f>
        <v>35 - 44</v>
      </c>
    </row>
    <row r="421" spans="2:13">
      <c r="B421" s="19">
        <v>49395647705</v>
      </c>
      <c r="C421" t="s">
        <v>218</v>
      </c>
      <c r="D421" t="s">
        <v>6</v>
      </c>
      <c r="E421" t="s">
        <v>417</v>
      </c>
      <c r="F421" t="s">
        <v>13</v>
      </c>
      <c r="G421" t="s">
        <v>426</v>
      </c>
      <c r="H421" s="1">
        <v>32945</v>
      </c>
      <c r="I421" s="1" t="s">
        <v>432</v>
      </c>
      <c r="J421" t="s">
        <v>456</v>
      </c>
      <c r="K421" s="20">
        <v>79.900000000000006</v>
      </c>
      <c r="L421">
        <f ca="1">TRUNC((TODAY()-tBase[[#This Row],[Data Nascimento]])/365)</f>
        <v>35</v>
      </c>
      <c r="M421" t="str">
        <f ca="1">HLOOKUP(tBase[[#This Row],[Idade]],$O$3:$R$4,2,TRUE)</f>
        <v>35 - 44</v>
      </c>
    </row>
    <row r="422" spans="2:13">
      <c r="B422" s="19">
        <v>49477339063</v>
      </c>
      <c r="C422" t="s">
        <v>248</v>
      </c>
      <c r="D422" t="s">
        <v>6</v>
      </c>
      <c r="E422" t="s">
        <v>416</v>
      </c>
      <c r="F422" t="s">
        <v>13</v>
      </c>
      <c r="G422" t="s">
        <v>425</v>
      </c>
      <c r="H422" s="1">
        <v>24032</v>
      </c>
      <c r="I422" s="1" t="s">
        <v>436</v>
      </c>
      <c r="J422" t="s">
        <v>453</v>
      </c>
      <c r="K422" s="20">
        <v>29.9</v>
      </c>
      <c r="L422">
        <f ca="1">TRUNC((TODAY()-tBase[[#This Row],[Data Nascimento]])/365)</f>
        <v>60</v>
      </c>
      <c r="M422" t="str">
        <f ca="1">HLOOKUP(tBase[[#This Row],[Idade]],$O$3:$R$4,2,TRUE)</f>
        <v>54-70</v>
      </c>
    </row>
    <row r="423" spans="2:13">
      <c r="B423" s="19">
        <v>49479547341</v>
      </c>
      <c r="C423" t="s">
        <v>186</v>
      </c>
      <c r="D423" t="s">
        <v>5</v>
      </c>
      <c r="E423" t="s">
        <v>417</v>
      </c>
      <c r="F423" t="s">
        <v>11</v>
      </c>
      <c r="G423" t="s">
        <v>426</v>
      </c>
      <c r="H423" s="1">
        <v>23262</v>
      </c>
      <c r="I423" s="1" t="s">
        <v>436</v>
      </c>
      <c r="J423" t="s">
        <v>456</v>
      </c>
      <c r="K423" s="20">
        <v>79.900000000000006</v>
      </c>
      <c r="L423">
        <f ca="1">TRUNC((TODAY()-tBase[[#This Row],[Data Nascimento]])/365)</f>
        <v>62</v>
      </c>
      <c r="M423" t="str">
        <f ca="1">HLOOKUP(tBase[[#This Row],[Idade]],$O$3:$R$4,2,TRUE)</f>
        <v>54-70</v>
      </c>
    </row>
    <row r="424" spans="2:13">
      <c r="B424" s="19">
        <v>49514272789</v>
      </c>
      <c r="C424" t="s">
        <v>315</v>
      </c>
      <c r="D424" t="s">
        <v>5</v>
      </c>
      <c r="E424" t="s">
        <v>417</v>
      </c>
      <c r="F424" t="s">
        <v>9</v>
      </c>
      <c r="G424" t="s">
        <v>425</v>
      </c>
      <c r="H424" s="1">
        <v>27626</v>
      </c>
      <c r="I424" s="1" t="s">
        <v>436</v>
      </c>
      <c r="J424" t="s">
        <v>455</v>
      </c>
      <c r="K424" s="20">
        <v>9.9</v>
      </c>
      <c r="L424">
        <f ca="1">TRUNC((TODAY()-tBase[[#This Row],[Data Nascimento]])/365)</f>
        <v>50</v>
      </c>
      <c r="M424" t="str">
        <f ca="1">HLOOKUP(tBase[[#This Row],[Idade]],$O$3:$R$4,2,TRUE)</f>
        <v>44 - 54</v>
      </c>
    </row>
    <row r="425" spans="2:13">
      <c r="B425" s="19">
        <v>49561602728</v>
      </c>
      <c r="C425" t="s">
        <v>164</v>
      </c>
      <c r="D425" t="s">
        <v>5</v>
      </c>
      <c r="E425" t="s">
        <v>418</v>
      </c>
      <c r="F425" t="s">
        <v>13</v>
      </c>
      <c r="G425" t="s">
        <v>425</v>
      </c>
      <c r="H425" s="1">
        <v>23760</v>
      </c>
      <c r="I425" s="1" t="s">
        <v>436</v>
      </c>
      <c r="J425" t="s">
        <v>455</v>
      </c>
      <c r="K425" s="20">
        <v>9.9</v>
      </c>
      <c r="L425">
        <f ca="1">TRUNC((TODAY()-tBase[[#This Row],[Data Nascimento]])/365)</f>
        <v>61</v>
      </c>
      <c r="M425" t="str">
        <f ca="1">HLOOKUP(tBase[[#This Row],[Idade]],$O$3:$R$4,2,TRUE)</f>
        <v>54-70</v>
      </c>
    </row>
    <row r="426" spans="2:13">
      <c r="B426" s="19">
        <v>49609420133</v>
      </c>
      <c r="C426" t="s">
        <v>367</v>
      </c>
      <c r="D426" t="s">
        <v>6</v>
      </c>
      <c r="E426" t="s">
        <v>7</v>
      </c>
      <c r="F426" t="s">
        <v>12</v>
      </c>
      <c r="G426" t="s">
        <v>425</v>
      </c>
      <c r="H426" s="1">
        <v>22766</v>
      </c>
      <c r="I426" s="1" t="s">
        <v>436</v>
      </c>
      <c r="J426" t="s">
        <v>456</v>
      </c>
      <c r="K426" s="20">
        <v>79.900000000000006</v>
      </c>
      <c r="L426">
        <f ca="1">TRUNC((TODAY()-tBase[[#This Row],[Data Nascimento]])/365)</f>
        <v>63</v>
      </c>
      <c r="M426" t="str">
        <f ca="1">HLOOKUP(tBase[[#This Row],[Idade]],$O$3:$R$4,2,TRUE)</f>
        <v>54-70</v>
      </c>
    </row>
    <row r="427" spans="2:13">
      <c r="B427" s="19">
        <v>49615735146</v>
      </c>
      <c r="C427" t="s">
        <v>334</v>
      </c>
      <c r="D427" t="s">
        <v>6</v>
      </c>
      <c r="E427" t="s">
        <v>417</v>
      </c>
      <c r="F427" t="s">
        <v>427</v>
      </c>
      <c r="G427" t="s">
        <v>425</v>
      </c>
      <c r="H427" s="1">
        <v>32468</v>
      </c>
      <c r="I427" s="1" t="s">
        <v>436</v>
      </c>
      <c r="J427" t="s">
        <v>453</v>
      </c>
      <c r="K427" s="20">
        <v>29.9</v>
      </c>
      <c r="L427">
        <f ca="1">TRUNC((TODAY()-tBase[[#This Row],[Data Nascimento]])/365)</f>
        <v>37</v>
      </c>
      <c r="M427" t="str">
        <f ca="1">HLOOKUP(tBase[[#This Row],[Idade]],$O$3:$R$4,2,TRUE)</f>
        <v>35 - 44</v>
      </c>
    </row>
    <row r="428" spans="2:13">
      <c r="B428" s="19">
        <v>49708771068</v>
      </c>
      <c r="C428" t="s">
        <v>156</v>
      </c>
      <c r="D428" t="s">
        <v>6</v>
      </c>
      <c r="E428" t="s">
        <v>7</v>
      </c>
      <c r="F428" t="s">
        <v>13</v>
      </c>
      <c r="G428" t="s">
        <v>426</v>
      </c>
      <c r="H428" s="1">
        <v>29978</v>
      </c>
      <c r="I428" s="1" t="s">
        <v>435</v>
      </c>
      <c r="J428" t="s">
        <v>455</v>
      </c>
      <c r="K428" s="20">
        <v>9.9</v>
      </c>
      <c r="L428">
        <f ca="1">TRUNC((TODAY()-tBase[[#This Row],[Data Nascimento]])/365)</f>
        <v>44</v>
      </c>
      <c r="M428" t="str">
        <f ca="1">HLOOKUP(tBase[[#This Row],[Idade]],$O$3:$R$4,2,TRUE)</f>
        <v>44 - 54</v>
      </c>
    </row>
    <row r="429" spans="2:13">
      <c r="B429" s="19">
        <v>49733529074</v>
      </c>
      <c r="C429" t="s">
        <v>55</v>
      </c>
      <c r="D429" t="s">
        <v>6</v>
      </c>
      <c r="E429" t="s">
        <v>417</v>
      </c>
      <c r="F429" t="s">
        <v>12</v>
      </c>
      <c r="G429" t="s">
        <v>425</v>
      </c>
      <c r="H429" s="1">
        <v>29578</v>
      </c>
      <c r="I429" s="1" t="s">
        <v>433</v>
      </c>
      <c r="J429" t="s">
        <v>456</v>
      </c>
      <c r="K429" s="20">
        <v>79.900000000000006</v>
      </c>
      <c r="L429">
        <f ca="1">TRUNC((TODAY()-tBase[[#This Row],[Data Nascimento]])/365)</f>
        <v>45</v>
      </c>
      <c r="M429" t="str">
        <f ca="1">HLOOKUP(tBase[[#This Row],[Idade]],$O$3:$R$4,2,TRUE)</f>
        <v>44 - 54</v>
      </c>
    </row>
    <row r="430" spans="2:13">
      <c r="B430" s="19">
        <v>49822462008</v>
      </c>
      <c r="C430" t="s">
        <v>369</v>
      </c>
      <c r="D430" t="s">
        <v>6</v>
      </c>
      <c r="E430" t="s">
        <v>8</v>
      </c>
      <c r="F430" t="s">
        <v>427</v>
      </c>
      <c r="G430" t="s">
        <v>424</v>
      </c>
      <c r="H430" s="1">
        <v>22511</v>
      </c>
      <c r="I430" s="1" t="s">
        <v>433</v>
      </c>
      <c r="J430" t="s">
        <v>455</v>
      </c>
      <c r="K430" s="20">
        <v>9.9</v>
      </c>
      <c r="L430">
        <f ca="1">TRUNC((TODAY()-tBase[[#This Row],[Data Nascimento]])/365)</f>
        <v>64</v>
      </c>
      <c r="M430" t="str">
        <f ca="1">HLOOKUP(tBase[[#This Row],[Idade]],$O$3:$R$4,2,TRUE)</f>
        <v>54-70</v>
      </c>
    </row>
    <row r="431" spans="2:13">
      <c r="B431" s="19">
        <v>49859929846</v>
      </c>
      <c r="C431" t="s">
        <v>381</v>
      </c>
      <c r="D431" t="s">
        <v>6</v>
      </c>
      <c r="E431" t="s">
        <v>417</v>
      </c>
      <c r="F431" t="s">
        <v>427</v>
      </c>
      <c r="G431" t="s">
        <v>425</v>
      </c>
      <c r="H431" s="1">
        <v>33468</v>
      </c>
      <c r="I431" s="1" t="s">
        <v>433</v>
      </c>
      <c r="J431" t="s">
        <v>455</v>
      </c>
      <c r="K431" s="20">
        <v>9.9</v>
      </c>
      <c r="L431">
        <f ca="1">TRUNC((TODAY()-tBase[[#This Row],[Data Nascimento]])/365)</f>
        <v>34</v>
      </c>
      <c r="M431" t="str">
        <f ca="1">HLOOKUP(tBase[[#This Row],[Idade]],$O$3:$R$4,2,TRUE)</f>
        <v>24-34</v>
      </c>
    </row>
    <row r="432" spans="2:13">
      <c r="B432" s="19">
        <v>49948498268</v>
      </c>
      <c r="C432" t="s">
        <v>148</v>
      </c>
      <c r="D432" t="s">
        <v>6</v>
      </c>
      <c r="E432" t="s">
        <v>416</v>
      </c>
      <c r="F432" t="s">
        <v>14</v>
      </c>
      <c r="G432" t="s">
        <v>425</v>
      </c>
      <c r="H432" s="1">
        <v>23554</v>
      </c>
      <c r="I432" s="1" t="s">
        <v>433</v>
      </c>
      <c r="J432" t="s">
        <v>453</v>
      </c>
      <c r="K432" s="20">
        <v>29.9</v>
      </c>
      <c r="L432">
        <f ca="1">TRUNC((TODAY()-tBase[[#This Row],[Data Nascimento]])/365)</f>
        <v>61</v>
      </c>
      <c r="M432" t="str">
        <f ca="1">HLOOKUP(tBase[[#This Row],[Idade]],$O$3:$R$4,2,TRUE)</f>
        <v>54-70</v>
      </c>
    </row>
    <row r="433" spans="2:13">
      <c r="B433" s="19">
        <v>49996091120</v>
      </c>
      <c r="C433" t="s">
        <v>340</v>
      </c>
      <c r="D433" t="s">
        <v>6</v>
      </c>
      <c r="E433" t="s">
        <v>7</v>
      </c>
      <c r="F433" t="s">
        <v>14</v>
      </c>
      <c r="G433" t="s">
        <v>425</v>
      </c>
      <c r="H433" s="1">
        <v>20435</v>
      </c>
      <c r="I433" s="1" t="s">
        <v>433</v>
      </c>
      <c r="J433" t="s">
        <v>453</v>
      </c>
      <c r="K433" s="20">
        <v>29.9</v>
      </c>
      <c r="L433">
        <f ca="1">TRUNC((TODAY()-tBase[[#This Row],[Data Nascimento]])/365)</f>
        <v>70</v>
      </c>
      <c r="M433" t="str">
        <f ca="1">HLOOKUP(tBase[[#This Row],[Idade]],$O$3:$R$4,2,TRUE)</f>
        <v>54-70</v>
      </c>
    </row>
    <row r="434" spans="2:13">
      <c r="B434" s="19">
        <v>50008008920</v>
      </c>
      <c r="C434" t="s">
        <v>354</v>
      </c>
      <c r="D434" t="s">
        <v>6</v>
      </c>
      <c r="E434" t="s">
        <v>417</v>
      </c>
      <c r="F434" t="s">
        <v>11</v>
      </c>
      <c r="G434" t="s">
        <v>425</v>
      </c>
      <c r="H434" s="1">
        <v>22355</v>
      </c>
      <c r="I434" s="1" t="s">
        <v>430</v>
      </c>
      <c r="J434" t="s">
        <v>456</v>
      </c>
      <c r="K434" s="20">
        <v>79.900000000000006</v>
      </c>
      <c r="L434">
        <f ca="1">TRUNC((TODAY()-tBase[[#This Row],[Data Nascimento]])/365)</f>
        <v>64</v>
      </c>
      <c r="M434" t="str">
        <f ca="1">HLOOKUP(tBase[[#This Row],[Idade]],$O$3:$R$4,2,TRUE)</f>
        <v>54-70</v>
      </c>
    </row>
    <row r="435" spans="2:13">
      <c r="B435" s="19">
        <v>50013996249</v>
      </c>
      <c r="C435" t="s">
        <v>194</v>
      </c>
      <c r="D435" t="s">
        <v>5</v>
      </c>
      <c r="E435" t="s">
        <v>417</v>
      </c>
      <c r="F435" t="s">
        <v>13</v>
      </c>
      <c r="G435" t="s">
        <v>425</v>
      </c>
      <c r="H435" s="1">
        <v>24872</v>
      </c>
      <c r="I435" s="1" t="s">
        <v>429</v>
      </c>
      <c r="J435" t="s">
        <v>456</v>
      </c>
      <c r="K435" s="20">
        <v>79.900000000000006</v>
      </c>
      <c r="L435">
        <f ca="1">TRUNC((TODAY()-tBase[[#This Row],[Data Nascimento]])/365)</f>
        <v>58</v>
      </c>
      <c r="M435" t="str">
        <f ca="1">HLOOKUP(tBase[[#This Row],[Idade]],$O$3:$R$4,2,TRUE)</f>
        <v>54-70</v>
      </c>
    </row>
    <row r="436" spans="2:13">
      <c r="B436" s="19">
        <v>50105898295</v>
      </c>
      <c r="C436" t="s">
        <v>139</v>
      </c>
      <c r="D436" t="s">
        <v>6</v>
      </c>
      <c r="E436" t="s">
        <v>8</v>
      </c>
      <c r="F436" t="s">
        <v>12</v>
      </c>
      <c r="G436" t="s">
        <v>426</v>
      </c>
      <c r="H436" s="1">
        <v>20937</v>
      </c>
      <c r="I436" s="1" t="s">
        <v>431</v>
      </c>
      <c r="J436" t="s">
        <v>455</v>
      </c>
      <c r="K436" s="20">
        <v>9.9</v>
      </c>
      <c r="L436">
        <f ca="1">TRUNC((TODAY()-tBase[[#This Row],[Data Nascimento]])/365)</f>
        <v>68</v>
      </c>
      <c r="M436" t="str">
        <f ca="1">HLOOKUP(tBase[[#This Row],[Idade]],$O$3:$R$4,2,TRUE)</f>
        <v>54-70</v>
      </c>
    </row>
    <row r="437" spans="2:13">
      <c r="B437" s="19">
        <v>50108835505</v>
      </c>
      <c r="C437" t="s">
        <v>131</v>
      </c>
      <c r="D437" t="s">
        <v>6</v>
      </c>
      <c r="E437" t="s">
        <v>416</v>
      </c>
      <c r="F437" t="s">
        <v>13</v>
      </c>
      <c r="G437" t="s">
        <v>424</v>
      </c>
      <c r="H437" s="1">
        <v>21463</v>
      </c>
      <c r="I437" s="1" t="s">
        <v>432</v>
      </c>
      <c r="J437" t="s">
        <v>453</v>
      </c>
      <c r="K437" s="20">
        <v>29.9</v>
      </c>
      <c r="L437">
        <f ca="1">TRUNC((TODAY()-tBase[[#This Row],[Data Nascimento]])/365)</f>
        <v>67</v>
      </c>
      <c r="M437" t="str">
        <f ca="1">HLOOKUP(tBase[[#This Row],[Idade]],$O$3:$R$4,2,TRUE)</f>
        <v>54-70</v>
      </c>
    </row>
    <row r="438" spans="2:13">
      <c r="B438" s="19">
        <v>50125202242</v>
      </c>
      <c r="C438" t="s">
        <v>98</v>
      </c>
      <c r="D438" t="s">
        <v>6</v>
      </c>
      <c r="E438" t="s">
        <v>417</v>
      </c>
      <c r="F438" t="s">
        <v>13</v>
      </c>
      <c r="G438" t="s">
        <v>426</v>
      </c>
      <c r="H438" s="1">
        <v>30336</v>
      </c>
      <c r="I438" s="1" t="s">
        <v>434</v>
      </c>
      <c r="J438" t="s">
        <v>456</v>
      </c>
      <c r="K438" s="20">
        <v>79.900000000000006</v>
      </c>
      <c r="L438">
        <f ca="1">TRUNC((TODAY()-tBase[[#This Row],[Data Nascimento]])/365)</f>
        <v>43</v>
      </c>
      <c r="M438" t="str">
        <f ca="1">HLOOKUP(tBase[[#This Row],[Idade]],$O$3:$R$4,2,TRUE)</f>
        <v>35 - 44</v>
      </c>
    </row>
    <row r="439" spans="2:13">
      <c r="B439" s="19">
        <v>50213585733</v>
      </c>
      <c r="C439" t="s">
        <v>405</v>
      </c>
      <c r="D439" t="s">
        <v>6</v>
      </c>
      <c r="E439" t="s">
        <v>7</v>
      </c>
      <c r="F439" t="s">
        <v>427</v>
      </c>
      <c r="G439" t="s">
        <v>425</v>
      </c>
      <c r="H439" s="1">
        <v>22538</v>
      </c>
      <c r="I439" s="1" t="s">
        <v>430</v>
      </c>
      <c r="J439" t="s">
        <v>455</v>
      </c>
      <c r="K439" s="20">
        <v>9.9</v>
      </c>
      <c r="L439">
        <f ca="1">TRUNC((TODAY()-tBase[[#This Row],[Data Nascimento]])/365)</f>
        <v>64</v>
      </c>
      <c r="M439" t="str">
        <f ca="1">HLOOKUP(tBase[[#This Row],[Idade]],$O$3:$R$4,2,TRUE)</f>
        <v>54-70</v>
      </c>
    </row>
    <row r="440" spans="2:13">
      <c r="B440" s="19">
        <v>50296433971</v>
      </c>
      <c r="C440" t="s">
        <v>100</v>
      </c>
      <c r="D440" t="s">
        <v>6</v>
      </c>
      <c r="E440" t="s">
        <v>416</v>
      </c>
      <c r="F440" t="s">
        <v>14</v>
      </c>
      <c r="G440" t="s">
        <v>425</v>
      </c>
      <c r="H440" s="1">
        <v>30857</v>
      </c>
      <c r="I440" s="1" t="s">
        <v>435</v>
      </c>
      <c r="J440" t="s">
        <v>453</v>
      </c>
      <c r="K440" s="20">
        <v>29.9</v>
      </c>
      <c r="L440">
        <f ca="1">TRUNC((TODAY()-tBase[[#This Row],[Data Nascimento]])/365)</f>
        <v>41</v>
      </c>
      <c r="M440" t="str">
        <f ca="1">HLOOKUP(tBase[[#This Row],[Idade]],$O$3:$R$4,2,TRUE)</f>
        <v>35 - 44</v>
      </c>
    </row>
    <row r="441" spans="2:13">
      <c r="B441" s="19">
        <v>50331166214</v>
      </c>
      <c r="C441" t="s">
        <v>314</v>
      </c>
      <c r="D441" t="s">
        <v>6</v>
      </c>
      <c r="E441" t="s">
        <v>417</v>
      </c>
      <c r="F441" t="s">
        <v>13</v>
      </c>
      <c r="G441" t="s">
        <v>425</v>
      </c>
      <c r="H441" s="1">
        <v>28253</v>
      </c>
      <c r="I441" s="1" t="s">
        <v>436</v>
      </c>
      <c r="J441" t="s">
        <v>456</v>
      </c>
      <c r="K441" s="20">
        <v>79.900000000000006</v>
      </c>
      <c r="L441">
        <f ca="1">TRUNC((TODAY()-tBase[[#This Row],[Data Nascimento]])/365)</f>
        <v>48</v>
      </c>
      <c r="M441" t="str">
        <f ca="1">HLOOKUP(tBase[[#This Row],[Idade]],$O$3:$R$4,2,TRUE)</f>
        <v>44 - 54</v>
      </c>
    </row>
    <row r="442" spans="2:13">
      <c r="B442" s="19">
        <v>50356441737</v>
      </c>
      <c r="C442" t="s">
        <v>26</v>
      </c>
      <c r="D442" t="s">
        <v>5</v>
      </c>
      <c r="E442" t="s">
        <v>417</v>
      </c>
      <c r="F442" t="s">
        <v>13</v>
      </c>
      <c r="G442" t="s">
        <v>426</v>
      </c>
      <c r="H442" s="1">
        <v>36510</v>
      </c>
      <c r="I442" s="1" t="s">
        <v>430</v>
      </c>
      <c r="J442" t="s">
        <v>456</v>
      </c>
      <c r="K442" s="20">
        <v>79.900000000000006</v>
      </c>
      <c r="L442">
        <f ca="1">TRUNC((TODAY()-tBase[[#This Row],[Data Nascimento]])/365)</f>
        <v>26</v>
      </c>
      <c r="M442" t="str">
        <f ca="1">HLOOKUP(tBase[[#This Row],[Idade]],$O$3:$R$4,2,TRUE)</f>
        <v>24-34</v>
      </c>
    </row>
    <row r="443" spans="2:13">
      <c r="B443" s="19">
        <v>50376304529</v>
      </c>
      <c r="C443" t="s">
        <v>38</v>
      </c>
      <c r="D443" t="s">
        <v>5</v>
      </c>
      <c r="E443" t="s">
        <v>417</v>
      </c>
      <c r="F443" t="s">
        <v>13</v>
      </c>
      <c r="G443" t="s">
        <v>426</v>
      </c>
      <c r="H443" s="1">
        <v>20158</v>
      </c>
      <c r="I443" s="1" t="s">
        <v>435</v>
      </c>
      <c r="J443" t="s">
        <v>455</v>
      </c>
      <c r="K443" s="20">
        <v>9.9</v>
      </c>
      <c r="L443">
        <f ca="1">TRUNC((TODAY()-tBase[[#This Row],[Data Nascimento]])/365)</f>
        <v>70</v>
      </c>
      <c r="M443" t="str">
        <f ca="1">HLOOKUP(tBase[[#This Row],[Idade]],$O$3:$R$4,2,TRUE)</f>
        <v>54-70</v>
      </c>
    </row>
    <row r="444" spans="2:13">
      <c r="B444" s="19">
        <v>50443594586</v>
      </c>
      <c r="C444" t="s">
        <v>411</v>
      </c>
      <c r="D444" t="s">
        <v>6</v>
      </c>
      <c r="E444" t="s">
        <v>416</v>
      </c>
      <c r="F444" t="s">
        <v>9</v>
      </c>
      <c r="G444" t="s">
        <v>424</v>
      </c>
      <c r="H444" s="1">
        <v>30302</v>
      </c>
      <c r="I444" s="1" t="s">
        <v>436</v>
      </c>
      <c r="J444" t="s">
        <v>455</v>
      </c>
      <c r="K444" s="20">
        <v>9.9</v>
      </c>
      <c r="L444">
        <f ca="1">TRUNC((TODAY()-tBase[[#This Row],[Data Nascimento]])/365)</f>
        <v>43</v>
      </c>
      <c r="M444" t="str">
        <f ca="1">HLOOKUP(tBase[[#This Row],[Idade]],$O$3:$R$4,2,TRUE)</f>
        <v>35 - 44</v>
      </c>
    </row>
    <row r="445" spans="2:13">
      <c r="B445" s="19">
        <v>50628172347</v>
      </c>
      <c r="C445" t="s">
        <v>415</v>
      </c>
      <c r="D445" t="s">
        <v>6</v>
      </c>
      <c r="E445" t="s">
        <v>417</v>
      </c>
      <c r="F445" t="s">
        <v>12</v>
      </c>
      <c r="G445" t="s">
        <v>425</v>
      </c>
      <c r="H445" s="1">
        <v>31899</v>
      </c>
      <c r="I445" s="1" t="s">
        <v>433</v>
      </c>
      <c r="J445" t="s">
        <v>456</v>
      </c>
      <c r="K445" s="20">
        <v>79.900000000000006</v>
      </c>
      <c r="L445">
        <f ca="1">TRUNC((TODAY()-tBase[[#This Row],[Data Nascimento]])/365)</f>
        <v>38</v>
      </c>
      <c r="M445" t="str">
        <f ca="1">HLOOKUP(tBase[[#This Row],[Idade]],$O$3:$R$4,2,TRUE)</f>
        <v>35 - 44</v>
      </c>
    </row>
    <row r="446" spans="2:13">
      <c r="B446" s="19">
        <v>50667919920</v>
      </c>
      <c r="C446" t="s">
        <v>286</v>
      </c>
      <c r="D446" t="s">
        <v>6</v>
      </c>
      <c r="E446" t="s">
        <v>417</v>
      </c>
      <c r="F446" t="s">
        <v>427</v>
      </c>
      <c r="G446" t="s">
        <v>426</v>
      </c>
      <c r="H446" s="1">
        <v>29743</v>
      </c>
      <c r="I446" s="1" t="s">
        <v>433</v>
      </c>
      <c r="J446" t="s">
        <v>453</v>
      </c>
      <c r="K446" s="20">
        <v>29.9</v>
      </c>
      <c r="L446">
        <f ca="1">TRUNC((TODAY()-tBase[[#This Row],[Data Nascimento]])/365)</f>
        <v>44</v>
      </c>
      <c r="M446" t="str">
        <f ca="1">HLOOKUP(tBase[[#This Row],[Idade]],$O$3:$R$4,2,TRUE)</f>
        <v>44 - 54</v>
      </c>
    </row>
    <row r="447" spans="2:13">
      <c r="B447" s="19">
        <v>50699518176</v>
      </c>
      <c r="C447" t="s">
        <v>318</v>
      </c>
      <c r="D447" t="s">
        <v>6</v>
      </c>
      <c r="E447" t="s">
        <v>417</v>
      </c>
      <c r="F447" t="s">
        <v>11</v>
      </c>
      <c r="G447" t="s">
        <v>426</v>
      </c>
      <c r="H447" s="1">
        <v>32608</v>
      </c>
      <c r="I447" s="1" t="s">
        <v>433</v>
      </c>
      <c r="J447" t="s">
        <v>456</v>
      </c>
      <c r="K447" s="20">
        <v>79.900000000000006</v>
      </c>
      <c r="L447">
        <f ca="1">TRUNC((TODAY()-tBase[[#This Row],[Data Nascimento]])/365)</f>
        <v>36</v>
      </c>
      <c r="M447" t="str">
        <f ca="1">HLOOKUP(tBase[[#This Row],[Idade]],$O$3:$R$4,2,TRUE)</f>
        <v>35 - 44</v>
      </c>
    </row>
    <row r="448" spans="2:13">
      <c r="B448" s="19">
        <v>50820733116</v>
      </c>
      <c r="C448" t="s">
        <v>250</v>
      </c>
      <c r="D448" t="s">
        <v>6</v>
      </c>
      <c r="E448" t="s">
        <v>7</v>
      </c>
      <c r="F448" t="s">
        <v>14</v>
      </c>
      <c r="G448" t="s">
        <v>426</v>
      </c>
      <c r="H448" s="1">
        <v>20810</v>
      </c>
      <c r="I448" s="1" t="s">
        <v>433</v>
      </c>
      <c r="J448" t="s">
        <v>453</v>
      </c>
      <c r="K448" s="20">
        <v>29.9</v>
      </c>
      <c r="L448">
        <f ca="1">TRUNC((TODAY()-tBase[[#This Row],[Data Nascimento]])/365)</f>
        <v>69</v>
      </c>
      <c r="M448" t="str">
        <f ca="1">HLOOKUP(tBase[[#This Row],[Idade]],$O$3:$R$4,2,TRUE)</f>
        <v>54-70</v>
      </c>
    </row>
    <row r="449" spans="2:13">
      <c r="B449" s="19">
        <v>50850484107</v>
      </c>
      <c r="C449" t="s">
        <v>406</v>
      </c>
      <c r="D449" t="s">
        <v>5</v>
      </c>
      <c r="E449" t="s">
        <v>417</v>
      </c>
      <c r="F449" t="s">
        <v>427</v>
      </c>
      <c r="G449" t="s">
        <v>426</v>
      </c>
      <c r="H449" s="1">
        <v>32487</v>
      </c>
      <c r="I449" s="1" t="s">
        <v>433</v>
      </c>
      <c r="J449" t="s">
        <v>453</v>
      </c>
      <c r="K449" s="20">
        <v>29.9</v>
      </c>
      <c r="L449">
        <f ca="1">TRUNC((TODAY()-tBase[[#This Row],[Data Nascimento]])/365)</f>
        <v>37</v>
      </c>
      <c r="M449" t="str">
        <f ca="1">HLOOKUP(tBase[[#This Row],[Idade]],$O$3:$R$4,2,TRUE)</f>
        <v>35 - 44</v>
      </c>
    </row>
    <row r="450" spans="2:13">
      <c r="B450" s="19">
        <v>51147741385</v>
      </c>
      <c r="C450" t="s">
        <v>166</v>
      </c>
      <c r="D450" t="s">
        <v>5</v>
      </c>
      <c r="E450" t="s">
        <v>417</v>
      </c>
      <c r="F450" t="s">
        <v>427</v>
      </c>
      <c r="G450" t="s">
        <v>426</v>
      </c>
      <c r="H450" s="1">
        <v>31420</v>
      </c>
      <c r="I450" s="1" t="s">
        <v>433</v>
      </c>
      <c r="J450" t="s">
        <v>453</v>
      </c>
      <c r="K450" s="20">
        <v>29.9</v>
      </c>
      <c r="L450">
        <f ca="1">TRUNC((TODAY()-tBase[[#This Row],[Data Nascimento]])/365)</f>
        <v>40</v>
      </c>
      <c r="M450" t="str">
        <f ca="1">HLOOKUP(tBase[[#This Row],[Idade]],$O$3:$R$4,2,TRUE)</f>
        <v>35 - 44</v>
      </c>
    </row>
    <row r="451" spans="2:13">
      <c r="B451" s="19">
        <v>51192158500</v>
      </c>
      <c r="C451" t="s">
        <v>330</v>
      </c>
      <c r="D451" t="s">
        <v>6</v>
      </c>
      <c r="E451" t="s">
        <v>7</v>
      </c>
      <c r="F451" t="s">
        <v>11</v>
      </c>
      <c r="G451" t="s">
        <v>426</v>
      </c>
      <c r="H451" s="1">
        <v>20090</v>
      </c>
      <c r="I451" s="1" t="s">
        <v>433</v>
      </c>
      <c r="J451" t="s">
        <v>456</v>
      </c>
      <c r="K451" s="20">
        <v>79.900000000000006</v>
      </c>
      <c r="L451">
        <f ca="1">TRUNC((TODAY()-tBase[[#This Row],[Data Nascimento]])/365)</f>
        <v>71</v>
      </c>
      <c r="M451" t="str">
        <f ca="1">HLOOKUP(tBase[[#This Row],[Idade]],$O$3:$R$4,2,TRUE)</f>
        <v>54-70</v>
      </c>
    </row>
    <row r="452" spans="2:13">
      <c r="B452" s="19">
        <v>51204535285</v>
      </c>
      <c r="C452" t="s">
        <v>199</v>
      </c>
      <c r="D452" t="s">
        <v>5</v>
      </c>
      <c r="E452" t="s">
        <v>8</v>
      </c>
      <c r="F452" t="s">
        <v>12</v>
      </c>
      <c r="G452" t="s">
        <v>425</v>
      </c>
      <c r="H452" s="1">
        <v>27477</v>
      </c>
      <c r="I452" s="1" t="s">
        <v>433</v>
      </c>
      <c r="J452" t="s">
        <v>456</v>
      </c>
      <c r="K452" s="20">
        <v>79.900000000000006</v>
      </c>
      <c r="L452">
        <f ca="1">TRUNC((TODAY()-tBase[[#This Row],[Data Nascimento]])/365)</f>
        <v>50</v>
      </c>
      <c r="M452" t="str">
        <f ca="1">HLOOKUP(tBase[[#This Row],[Idade]],$O$3:$R$4,2,TRUE)</f>
        <v>44 - 54</v>
      </c>
    </row>
    <row r="453" spans="2:13">
      <c r="B453" s="19">
        <v>51230053057</v>
      </c>
      <c r="C453" t="s">
        <v>110</v>
      </c>
      <c r="D453" t="s">
        <v>5</v>
      </c>
      <c r="E453" t="s">
        <v>7</v>
      </c>
      <c r="F453" t="s">
        <v>13</v>
      </c>
      <c r="G453" t="s">
        <v>426</v>
      </c>
      <c r="H453" s="1">
        <v>31072</v>
      </c>
      <c r="I453" s="1" t="s">
        <v>433</v>
      </c>
      <c r="J453" t="s">
        <v>455</v>
      </c>
      <c r="K453" s="20">
        <v>9.9</v>
      </c>
      <c r="L453">
        <f ca="1">TRUNC((TODAY()-tBase[[#This Row],[Data Nascimento]])/365)</f>
        <v>41</v>
      </c>
      <c r="M453" t="str">
        <f ca="1">HLOOKUP(tBase[[#This Row],[Idade]],$O$3:$R$4,2,TRUE)</f>
        <v>35 - 44</v>
      </c>
    </row>
    <row r="454" spans="2:13">
      <c r="B454" s="19">
        <v>51483423208</v>
      </c>
      <c r="C454" t="s">
        <v>182</v>
      </c>
      <c r="D454" t="s">
        <v>5</v>
      </c>
      <c r="E454" t="s">
        <v>8</v>
      </c>
      <c r="F454" t="s">
        <v>13</v>
      </c>
      <c r="G454" t="s">
        <v>424</v>
      </c>
      <c r="H454" s="1">
        <v>34562</v>
      </c>
      <c r="I454" s="1" t="s">
        <v>429</v>
      </c>
      <c r="J454" t="s">
        <v>455</v>
      </c>
      <c r="K454" s="20">
        <v>9.9</v>
      </c>
      <c r="L454">
        <f ca="1">TRUNC((TODAY()-tBase[[#This Row],[Data Nascimento]])/365)</f>
        <v>31</v>
      </c>
      <c r="M454" t="str">
        <f ca="1">HLOOKUP(tBase[[#This Row],[Idade]],$O$3:$R$4,2,TRUE)</f>
        <v>24-34</v>
      </c>
    </row>
    <row r="455" spans="2:13">
      <c r="B455" s="19">
        <v>51537734484</v>
      </c>
      <c r="C455" t="s">
        <v>108</v>
      </c>
      <c r="D455" t="s">
        <v>6</v>
      </c>
      <c r="E455" t="s">
        <v>416</v>
      </c>
      <c r="F455" t="s">
        <v>13</v>
      </c>
      <c r="G455" t="s">
        <v>425</v>
      </c>
      <c r="H455" s="1">
        <v>22392</v>
      </c>
      <c r="I455" s="1" t="s">
        <v>432</v>
      </c>
      <c r="J455" t="s">
        <v>455</v>
      </c>
      <c r="K455" s="20">
        <v>9.9</v>
      </c>
      <c r="L455">
        <f ca="1">TRUNC((TODAY()-tBase[[#This Row],[Data Nascimento]])/365)</f>
        <v>64</v>
      </c>
      <c r="M455" t="str">
        <f ca="1">HLOOKUP(tBase[[#This Row],[Idade]],$O$3:$R$4,2,TRUE)</f>
        <v>54-70</v>
      </c>
    </row>
    <row r="456" spans="2:13">
      <c r="B456" s="19">
        <v>51624291281</v>
      </c>
      <c r="C456" t="s">
        <v>187</v>
      </c>
      <c r="D456" t="s">
        <v>5</v>
      </c>
      <c r="E456" t="s">
        <v>7</v>
      </c>
      <c r="F456" t="s">
        <v>12</v>
      </c>
      <c r="G456" t="s">
        <v>425</v>
      </c>
      <c r="H456" s="1">
        <v>25264</v>
      </c>
      <c r="I456" s="1" t="s">
        <v>436</v>
      </c>
      <c r="J456" t="s">
        <v>455</v>
      </c>
      <c r="K456" s="20">
        <v>9.9</v>
      </c>
      <c r="L456">
        <f ca="1">TRUNC((TODAY()-tBase[[#This Row],[Data Nascimento]])/365)</f>
        <v>56</v>
      </c>
      <c r="M456" t="str">
        <f ca="1">HLOOKUP(tBase[[#This Row],[Idade]],$O$3:$R$4,2,TRUE)</f>
        <v>54-70</v>
      </c>
    </row>
    <row r="457" spans="2:13">
      <c r="B457" s="19">
        <v>51629234687</v>
      </c>
      <c r="C457" t="s">
        <v>292</v>
      </c>
      <c r="D457" t="s">
        <v>5</v>
      </c>
      <c r="E457" t="s">
        <v>8</v>
      </c>
      <c r="F457" t="s">
        <v>14</v>
      </c>
      <c r="G457" t="s">
        <v>425</v>
      </c>
      <c r="H457" s="1">
        <v>25735</v>
      </c>
      <c r="I457" s="1" t="s">
        <v>436</v>
      </c>
      <c r="J457" t="s">
        <v>453</v>
      </c>
      <c r="K457" s="20">
        <v>29.9</v>
      </c>
      <c r="L457">
        <f ca="1">TRUNC((TODAY()-tBase[[#This Row],[Data Nascimento]])/365)</f>
        <v>55</v>
      </c>
      <c r="M457" t="str">
        <f ca="1">HLOOKUP(tBase[[#This Row],[Idade]],$O$3:$R$4,2,TRUE)</f>
        <v>54-70</v>
      </c>
    </row>
    <row r="458" spans="2:13">
      <c r="B458" s="19">
        <v>51648535772</v>
      </c>
      <c r="C458" t="s">
        <v>134</v>
      </c>
      <c r="D458" t="s">
        <v>6</v>
      </c>
      <c r="E458" t="s">
        <v>417</v>
      </c>
      <c r="F458" t="s">
        <v>13</v>
      </c>
      <c r="G458" t="s">
        <v>425</v>
      </c>
      <c r="H458" s="1">
        <v>23510</v>
      </c>
      <c r="I458" s="1" t="s">
        <v>436</v>
      </c>
      <c r="J458" t="s">
        <v>455</v>
      </c>
      <c r="K458" s="20">
        <v>9.9</v>
      </c>
      <c r="L458">
        <f ca="1">TRUNC((TODAY()-tBase[[#This Row],[Data Nascimento]])/365)</f>
        <v>61</v>
      </c>
      <c r="M458" t="str">
        <f ca="1">HLOOKUP(tBase[[#This Row],[Idade]],$O$3:$R$4,2,TRUE)</f>
        <v>54-70</v>
      </c>
    </row>
    <row r="459" spans="2:13">
      <c r="B459" s="19">
        <v>51676477218</v>
      </c>
      <c r="C459" t="s">
        <v>147</v>
      </c>
      <c r="D459" t="s">
        <v>6</v>
      </c>
      <c r="E459" t="s">
        <v>7</v>
      </c>
      <c r="F459" t="s">
        <v>9</v>
      </c>
      <c r="G459" t="s">
        <v>425</v>
      </c>
      <c r="H459" s="1">
        <v>24740</v>
      </c>
      <c r="I459" s="1" t="s">
        <v>436</v>
      </c>
      <c r="J459" t="s">
        <v>455</v>
      </c>
      <c r="K459" s="20">
        <v>9.9</v>
      </c>
      <c r="L459">
        <f ca="1">TRUNC((TODAY()-tBase[[#This Row],[Data Nascimento]])/365)</f>
        <v>58</v>
      </c>
      <c r="M459" t="str">
        <f ca="1">HLOOKUP(tBase[[#This Row],[Idade]],$O$3:$R$4,2,TRUE)</f>
        <v>54-70</v>
      </c>
    </row>
    <row r="460" spans="2:13">
      <c r="B460" s="19">
        <v>51680460346</v>
      </c>
      <c r="C460" t="s">
        <v>216</v>
      </c>
      <c r="D460" t="s">
        <v>6</v>
      </c>
      <c r="E460" t="s">
        <v>7</v>
      </c>
      <c r="F460" t="s">
        <v>13</v>
      </c>
      <c r="G460" t="s">
        <v>426</v>
      </c>
      <c r="H460" s="1">
        <v>32813</v>
      </c>
      <c r="I460" s="1" t="s">
        <v>436</v>
      </c>
      <c r="J460" t="s">
        <v>454</v>
      </c>
      <c r="K460" s="20">
        <v>35.9</v>
      </c>
      <c r="L460">
        <f ca="1">TRUNC((TODAY()-tBase[[#This Row],[Data Nascimento]])/365)</f>
        <v>36</v>
      </c>
      <c r="M460" t="str">
        <f ca="1">HLOOKUP(tBase[[#This Row],[Idade]],$O$3:$R$4,2,TRUE)</f>
        <v>35 - 44</v>
      </c>
    </row>
    <row r="461" spans="2:13">
      <c r="B461" s="19">
        <v>51711010382</v>
      </c>
      <c r="C461" t="s">
        <v>106</v>
      </c>
      <c r="D461" t="s">
        <v>6</v>
      </c>
      <c r="E461" t="s">
        <v>417</v>
      </c>
      <c r="F461" t="s">
        <v>14</v>
      </c>
      <c r="G461" t="s">
        <v>426</v>
      </c>
      <c r="H461" s="1">
        <v>27228</v>
      </c>
      <c r="I461" s="1" t="s">
        <v>436</v>
      </c>
      <c r="J461" t="s">
        <v>453</v>
      </c>
      <c r="K461" s="20">
        <v>29.9</v>
      </c>
      <c r="L461">
        <f ca="1">TRUNC((TODAY()-tBase[[#This Row],[Data Nascimento]])/365)</f>
        <v>51</v>
      </c>
      <c r="M461" t="str">
        <f ca="1">HLOOKUP(tBase[[#This Row],[Idade]],$O$3:$R$4,2,TRUE)</f>
        <v>44 - 54</v>
      </c>
    </row>
    <row r="462" spans="2:13">
      <c r="B462" s="19">
        <v>51769930316</v>
      </c>
      <c r="C462" t="s">
        <v>335</v>
      </c>
      <c r="D462" t="s">
        <v>5</v>
      </c>
      <c r="E462" t="s">
        <v>417</v>
      </c>
      <c r="F462" t="s">
        <v>427</v>
      </c>
      <c r="G462" t="s">
        <v>425</v>
      </c>
      <c r="H462" s="1">
        <v>25885</v>
      </c>
      <c r="I462" s="1" t="s">
        <v>435</v>
      </c>
      <c r="J462" t="s">
        <v>453</v>
      </c>
      <c r="K462" s="20">
        <v>29.9</v>
      </c>
      <c r="L462">
        <f ca="1">TRUNC((TODAY()-tBase[[#This Row],[Data Nascimento]])/365)</f>
        <v>55</v>
      </c>
      <c r="M462" t="str">
        <f ca="1">HLOOKUP(tBase[[#This Row],[Idade]],$O$3:$R$4,2,TRUE)</f>
        <v>54-70</v>
      </c>
    </row>
    <row r="463" spans="2:13">
      <c r="B463" s="19">
        <v>51789418350</v>
      </c>
      <c r="C463" t="s">
        <v>395</v>
      </c>
      <c r="D463" t="s">
        <v>5</v>
      </c>
      <c r="E463" t="s">
        <v>417</v>
      </c>
      <c r="F463" t="s">
        <v>13</v>
      </c>
      <c r="G463" t="s">
        <v>425</v>
      </c>
      <c r="H463" s="1">
        <v>30824</v>
      </c>
      <c r="I463" s="1" t="s">
        <v>433</v>
      </c>
      <c r="J463" t="s">
        <v>453</v>
      </c>
      <c r="K463" s="20">
        <v>29.9</v>
      </c>
      <c r="L463">
        <f ca="1">TRUNC((TODAY()-tBase[[#This Row],[Data Nascimento]])/365)</f>
        <v>41</v>
      </c>
      <c r="M463" t="str">
        <f ca="1">HLOOKUP(tBase[[#This Row],[Idade]],$O$3:$R$4,2,TRUE)</f>
        <v>35 - 44</v>
      </c>
    </row>
    <row r="464" spans="2:13">
      <c r="B464" s="19">
        <v>51815365690</v>
      </c>
      <c r="C464" t="s">
        <v>136</v>
      </c>
      <c r="D464" t="s">
        <v>6</v>
      </c>
      <c r="E464" t="s">
        <v>7</v>
      </c>
      <c r="F464" t="s">
        <v>14</v>
      </c>
      <c r="G464" t="s">
        <v>426</v>
      </c>
      <c r="H464" s="1">
        <v>23176</v>
      </c>
      <c r="I464" s="1" t="s">
        <v>433</v>
      </c>
      <c r="J464" t="s">
        <v>455</v>
      </c>
      <c r="K464" s="20">
        <v>9.9</v>
      </c>
      <c r="L464">
        <f ca="1">TRUNC((TODAY()-tBase[[#This Row],[Data Nascimento]])/365)</f>
        <v>62</v>
      </c>
      <c r="M464" t="str">
        <f ca="1">HLOOKUP(tBase[[#This Row],[Idade]],$O$3:$R$4,2,TRUE)</f>
        <v>54-70</v>
      </c>
    </row>
    <row r="465" spans="2:13">
      <c r="B465" s="19">
        <v>51918800636</v>
      </c>
      <c r="C465" t="s">
        <v>85</v>
      </c>
      <c r="D465" t="s">
        <v>6</v>
      </c>
      <c r="E465" t="s">
        <v>7</v>
      </c>
      <c r="F465" t="s">
        <v>427</v>
      </c>
      <c r="G465" t="s">
        <v>425</v>
      </c>
      <c r="H465" s="1">
        <v>21278</v>
      </c>
      <c r="I465" s="1" t="s">
        <v>433</v>
      </c>
      <c r="J465" t="s">
        <v>454</v>
      </c>
      <c r="K465" s="20">
        <v>35.9</v>
      </c>
      <c r="L465">
        <f ca="1">TRUNC((TODAY()-tBase[[#This Row],[Data Nascimento]])/365)</f>
        <v>67</v>
      </c>
      <c r="M465" t="str">
        <f ca="1">HLOOKUP(tBase[[#This Row],[Idade]],$O$3:$R$4,2,TRUE)</f>
        <v>54-70</v>
      </c>
    </row>
    <row r="466" spans="2:13">
      <c r="B466" s="19">
        <v>51958244063</v>
      </c>
      <c r="C466" t="s">
        <v>213</v>
      </c>
      <c r="D466" t="s">
        <v>6</v>
      </c>
      <c r="E466" t="s">
        <v>7</v>
      </c>
      <c r="F466" t="s">
        <v>427</v>
      </c>
      <c r="G466" t="s">
        <v>424</v>
      </c>
      <c r="H466" s="1">
        <v>28924</v>
      </c>
      <c r="I466" s="1" t="s">
        <v>433</v>
      </c>
      <c r="J466" t="s">
        <v>455</v>
      </c>
      <c r="K466" s="20">
        <v>9.9</v>
      </c>
      <c r="L466">
        <f ca="1">TRUNC((TODAY()-tBase[[#This Row],[Data Nascimento]])/365)</f>
        <v>46</v>
      </c>
      <c r="M466" t="str">
        <f ca="1">HLOOKUP(tBase[[#This Row],[Idade]],$O$3:$R$4,2,TRUE)</f>
        <v>44 - 54</v>
      </c>
    </row>
    <row r="467" spans="2:13">
      <c r="B467" s="19">
        <v>51993203545</v>
      </c>
      <c r="C467" t="s">
        <v>362</v>
      </c>
      <c r="D467" t="s">
        <v>5</v>
      </c>
      <c r="E467" t="s">
        <v>8</v>
      </c>
      <c r="F467" t="s">
        <v>13</v>
      </c>
      <c r="G467" t="s">
        <v>424</v>
      </c>
      <c r="H467" s="1">
        <v>25285</v>
      </c>
      <c r="I467" s="1" t="s">
        <v>433</v>
      </c>
      <c r="J467" t="s">
        <v>456</v>
      </c>
      <c r="K467" s="20">
        <v>79.900000000000006</v>
      </c>
      <c r="L467">
        <f ca="1">TRUNC((TODAY()-tBase[[#This Row],[Data Nascimento]])/365)</f>
        <v>56</v>
      </c>
      <c r="M467" t="str">
        <f ca="1">HLOOKUP(tBase[[#This Row],[Idade]],$O$3:$R$4,2,TRUE)</f>
        <v>54-70</v>
      </c>
    </row>
    <row r="468" spans="2:13">
      <c r="B468" s="19">
        <v>52074827600</v>
      </c>
      <c r="C468" t="s">
        <v>259</v>
      </c>
      <c r="D468" t="s">
        <v>5</v>
      </c>
      <c r="E468" t="s">
        <v>8</v>
      </c>
      <c r="F468" t="s">
        <v>12</v>
      </c>
      <c r="G468" t="s">
        <v>426</v>
      </c>
      <c r="H468" s="1">
        <v>21555</v>
      </c>
      <c r="I468" s="1" t="s">
        <v>430</v>
      </c>
      <c r="J468" t="s">
        <v>455</v>
      </c>
      <c r="K468" s="20">
        <v>9.9</v>
      </c>
      <c r="L468">
        <f ca="1">TRUNC((TODAY()-tBase[[#This Row],[Data Nascimento]])/365)</f>
        <v>67</v>
      </c>
      <c r="M468" t="str">
        <f ca="1">HLOOKUP(tBase[[#This Row],[Idade]],$O$3:$R$4,2,TRUE)</f>
        <v>54-70</v>
      </c>
    </row>
    <row r="469" spans="2:13">
      <c r="B469" s="19">
        <v>52113552792</v>
      </c>
      <c r="C469" t="s">
        <v>316</v>
      </c>
      <c r="D469" t="s">
        <v>6</v>
      </c>
      <c r="E469" t="s">
        <v>7</v>
      </c>
      <c r="F469" t="s">
        <v>14</v>
      </c>
      <c r="G469" t="s">
        <v>426</v>
      </c>
      <c r="H469" s="1">
        <v>23217</v>
      </c>
      <c r="I469" s="1" t="s">
        <v>429</v>
      </c>
      <c r="J469" t="s">
        <v>453</v>
      </c>
      <c r="K469" s="20">
        <v>29.9</v>
      </c>
      <c r="L469">
        <f ca="1">TRUNC((TODAY()-tBase[[#This Row],[Data Nascimento]])/365)</f>
        <v>62</v>
      </c>
      <c r="M469" t="str">
        <f ca="1">HLOOKUP(tBase[[#This Row],[Idade]],$O$3:$R$4,2,TRUE)</f>
        <v>54-70</v>
      </c>
    </row>
    <row r="470" spans="2:13">
      <c r="B470" s="19">
        <v>52125136892</v>
      </c>
      <c r="C470" t="s">
        <v>174</v>
      </c>
      <c r="D470" t="s">
        <v>6</v>
      </c>
      <c r="E470" t="s">
        <v>417</v>
      </c>
      <c r="F470" t="s">
        <v>11</v>
      </c>
      <c r="G470" t="s">
        <v>425</v>
      </c>
      <c r="H470" s="1">
        <v>23887</v>
      </c>
      <c r="I470" s="1" t="s">
        <v>431</v>
      </c>
      <c r="J470" t="s">
        <v>456</v>
      </c>
      <c r="K470" s="20">
        <v>79.900000000000006</v>
      </c>
      <c r="L470">
        <f ca="1">TRUNC((TODAY()-tBase[[#This Row],[Data Nascimento]])/365)</f>
        <v>60</v>
      </c>
      <c r="M470" t="str">
        <f ca="1">HLOOKUP(tBase[[#This Row],[Idade]],$O$3:$R$4,2,TRUE)</f>
        <v>54-70</v>
      </c>
    </row>
    <row r="471" spans="2:13">
      <c r="B471" s="19">
        <v>52171616989</v>
      </c>
      <c r="C471" t="s">
        <v>254</v>
      </c>
      <c r="D471" t="s">
        <v>6</v>
      </c>
      <c r="E471" t="s">
        <v>417</v>
      </c>
      <c r="F471" t="s">
        <v>13</v>
      </c>
      <c r="G471" t="s">
        <v>425</v>
      </c>
      <c r="H471" s="1">
        <v>31303</v>
      </c>
      <c r="I471" s="1" t="s">
        <v>432</v>
      </c>
      <c r="J471" t="s">
        <v>455</v>
      </c>
      <c r="K471" s="20">
        <v>9.9</v>
      </c>
      <c r="L471">
        <f ca="1">TRUNC((TODAY()-tBase[[#This Row],[Data Nascimento]])/365)</f>
        <v>40</v>
      </c>
      <c r="M471" t="str">
        <f ca="1">HLOOKUP(tBase[[#This Row],[Idade]],$O$3:$R$4,2,TRUE)</f>
        <v>35 - 44</v>
      </c>
    </row>
    <row r="472" spans="2:13">
      <c r="B472" s="19">
        <v>52175547539</v>
      </c>
      <c r="C472" t="s">
        <v>45</v>
      </c>
      <c r="D472" t="s">
        <v>6</v>
      </c>
      <c r="E472" t="s">
        <v>7</v>
      </c>
      <c r="F472" t="s">
        <v>427</v>
      </c>
      <c r="G472" t="s">
        <v>425</v>
      </c>
      <c r="H472" s="1">
        <v>31675</v>
      </c>
      <c r="I472" s="1" t="s">
        <v>434</v>
      </c>
      <c r="J472" t="s">
        <v>455</v>
      </c>
      <c r="K472" s="20">
        <v>9.9</v>
      </c>
      <c r="L472">
        <f ca="1">TRUNC((TODAY()-tBase[[#This Row],[Data Nascimento]])/365)</f>
        <v>39</v>
      </c>
      <c r="M472" t="str">
        <f ca="1">HLOOKUP(tBase[[#This Row],[Idade]],$O$3:$R$4,2,TRUE)</f>
        <v>35 - 44</v>
      </c>
    </row>
    <row r="473" spans="2:13">
      <c r="B473" s="19">
        <v>52194876240</v>
      </c>
      <c r="C473" t="s">
        <v>157</v>
      </c>
      <c r="D473" t="s">
        <v>6</v>
      </c>
      <c r="E473" t="s">
        <v>7</v>
      </c>
      <c r="F473" t="s">
        <v>427</v>
      </c>
      <c r="G473" t="s">
        <v>425</v>
      </c>
      <c r="H473" s="1">
        <v>33341</v>
      </c>
      <c r="I473" s="1" t="s">
        <v>430</v>
      </c>
      <c r="J473" t="s">
        <v>454</v>
      </c>
      <c r="K473" s="20">
        <v>35.9</v>
      </c>
      <c r="L473">
        <f ca="1">TRUNC((TODAY()-tBase[[#This Row],[Data Nascimento]])/365)</f>
        <v>34</v>
      </c>
      <c r="M473" t="str">
        <f ca="1">HLOOKUP(tBase[[#This Row],[Idade]],$O$3:$R$4,2,TRUE)</f>
        <v>24-34</v>
      </c>
    </row>
    <row r="474" spans="2:13">
      <c r="B474" s="19">
        <v>52237008409</v>
      </c>
      <c r="C474" t="s">
        <v>197</v>
      </c>
      <c r="D474" t="s">
        <v>5</v>
      </c>
      <c r="E474" t="s">
        <v>7</v>
      </c>
      <c r="F474" t="s">
        <v>427</v>
      </c>
      <c r="G474" t="s">
        <v>425</v>
      </c>
      <c r="H474" s="1">
        <v>28985</v>
      </c>
      <c r="I474" s="1" t="s">
        <v>435</v>
      </c>
      <c r="J474" t="s">
        <v>454</v>
      </c>
      <c r="K474" s="20">
        <v>35.9</v>
      </c>
      <c r="L474">
        <f ca="1">TRUNC((TODAY()-tBase[[#This Row],[Data Nascimento]])/365)</f>
        <v>46</v>
      </c>
      <c r="M474" t="str">
        <f ca="1">HLOOKUP(tBase[[#This Row],[Idade]],$O$3:$R$4,2,TRUE)</f>
        <v>44 - 54</v>
      </c>
    </row>
    <row r="475" spans="2:13">
      <c r="B475" s="19">
        <v>52262038971</v>
      </c>
      <c r="C475" t="s">
        <v>303</v>
      </c>
      <c r="D475" t="s">
        <v>5</v>
      </c>
      <c r="E475" t="s">
        <v>7</v>
      </c>
      <c r="F475" t="s">
        <v>9</v>
      </c>
      <c r="G475" t="s">
        <v>424</v>
      </c>
      <c r="H475" s="1">
        <v>32408</v>
      </c>
      <c r="I475" s="1" t="s">
        <v>436</v>
      </c>
      <c r="J475" t="s">
        <v>455</v>
      </c>
      <c r="K475" s="20">
        <v>9.9</v>
      </c>
      <c r="L475">
        <f ca="1">TRUNC((TODAY()-tBase[[#This Row],[Data Nascimento]])/365)</f>
        <v>37</v>
      </c>
      <c r="M475" t="str">
        <f ca="1">HLOOKUP(tBase[[#This Row],[Idade]],$O$3:$R$4,2,TRUE)</f>
        <v>35 - 44</v>
      </c>
    </row>
    <row r="476" spans="2:13">
      <c r="B476" s="19">
        <v>52272478127</v>
      </c>
      <c r="C476" t="s">
        <v>46</v>
      </c>
      <c r="D476" t="s">
        <v>5</v>
      </c>
      <c r="E476" t="s">
        <v>417</v>
      </c>
      <c r="F476" t="s">
        <v>427</v>
      </c>
      <c r="G476" t="s">
        <v>426</v>
      </c>
      <c r="H476" s="1">
        <v>32417</v>
      </c>
      <c r="I476" s="1" t="s">
        <v>430</v>
      </c>
      <c r="J476" t="s">
        <v>453</v>
      </c>
      <c r="K476" s="20">
        <v>29.9</v>
      </c>
      <c r="L476">
        <f ca="1">TRUNC((TODAY()-tBase[[#This Row],[Data Nascimento]])/365)</f>
        <v>37</v>
      </c>
      <c r="M476" t="str">
        <f ca="1">HLOOKUP(tBase[[#This Row],[Idade]],$O$3:$R$4,2,TRUE)</f>
        <v>35 - 44</v>
      </c>
    </row>
    <row r="477" spans="2:13">
      <c r="B477" s="19">
        <v>52340215967</v>
      </c>
      <c r="C477" t="s">
        <v>77</v>
      </c>
      <c r="D477" t="s">
        <v>6</v>
      </c>
      <c r="E477" t="s">
        <v>7</v>
      </c>
      <c r="F477" t="s">
        <v>427</v>
      </c>
      <c r="G477" t="s">
        <v>425</v>
      </c>
      <c r="H477" s="1">
        <v>22742</v>
      </c>
      <c r="I477" s="1" t="s">
        <v>435</v>
      </c>
      <c r="J477" t="s">
        <v>454</v>
      </c>
      <c r="K477" s="20">
        <v>35.9</v>
      </c>
      <c r="L477">
        <f ca="1">TRUNC((TODAY()-tBase[[#This Row],[Data Nascimento]])/365)</f>
        <v>63</v>
      </c>
      <c r="M477" t="str">
        <f ca="1">HLOOKUP(tBase[[#This Row],[Idade]],$O$3:$R$4,2,TRUE)</f>
        <v>54-70</v>
      </c>
    </row>
    <row r="478" spans="2:13">
      <c r="B478" s="19">
        <v>52456163228</v>
      </c>
      <c r="C478" t="s">
        <v>76</v>
      </c>
      <c r="D478" t="s">
        <v>5</v>
      </c>
      <c r="E478" t="s">
        <v>7</v>
      </c>
      <c r="F478" t="s">
        <v>14</v>
      </c>
      <c r="G478" t="s">
        <v>426</v>
      </c>
      <c r="H478" s="1">
        <v>25752</v>
      </c>
      <c r="I478" s="1" t="s">
        <v>436</v>
      </c>
      <c r="J478" t="s">
        <v>453</v>
      </c>
      <c r="K478" s="20">
        <v>29.9</v>
      </c>
      <c r="L478">
        <f ca="1">TRUNC((TODAY()-tBase[[#This Row],[Data Nascimento]])/365)</f>
        <v>55</v>
      </c>
      <c r="M478" t="str">
        <f ca="1">HLOOKUP(tBase[[#This Row],[Idade]],$O$3:$R$4,2,TRUE)</f>
        <v>54-70</v>
      </c>
    </row>
    <row r="479" spans="2:13">
      <c r="B479" s="19">
        <v>52607015603</v>
      </c>
      <c r="C479" t="s">
        <v>31</v>
      </c>
      <c r="D479" t="s">
        <v>6</v>
      </c>
      <c r="E479" t="s">
        <v>417</v>
      </c>
      <c r="F479" t="s">
        <v>12</v>
      </c>
      <c r="G479" t="s">
        <v>424</v>
      </c>
      <c r="H479" s="1">
        <v>27830</v>
      </c>
      <c r="I479" s="1" t="s">
        <v>433</v>
      </c>
      <c r="J479" t="s">
        <v>456</v>
      </c>
      <c r="K479" s="20">
        <v>79.900000000000006</v>
      </c>
      <c r="L479">
        <f ca="1">TRUNC((TODAY()-tBase[[#This Row],[Data Nascimento]])/365)</f>
        <v>49</v>
      </c>
      <c r="M479" t="str">
        <f ca="1">HLOOKUP(tBase[[#This Row],[Idade]],$O$3:$R$4,2,TRUE)</f>
        <v>44 - 54</v>
      </c>
    </row>
    <row r="480" spans="2:13">
      <c r="B480" s="19">
        <v>52698133621</v>
      </c>
      <c r="C480" t="s">
        <v>75</v>
      </c>
      <c r="D480" t="s">
        <v>6</v>
      </c>
      <c r="E480" t="s">
        <v>417</v>
      </c>
      <c r="F480" t="s">
        <v>9</v>
      </c>
      <c r="G480" t="s">
        <v>425</v>
      </c>
      <c r="H480" s="1">
        <v>33668</v>
      </c>
      <c r="I480" s="1" t="s">
        <v>433</v>
      </c>
      <c r="J480" t="s">
        <v>455</v>
      </c>
      <c r="K480" s="20">
        <v>9.9</v>
      </c>
      <c r="L480">
        <f ca="1">TRUNC((TODAY()-tBase[[#This Row],[Data Nascimento]])/365)</f>
        <v>33</v>
      </c>
      <c r="M480" t="str">
        <f ca="1">HLOOKUP(tBase[[#This Row],[Idade]],$O$3:$R$4,2,TRUE)</f>
        <v>24-34</v>
      </c>
    </row>
    <row r="481" spans="2:13">
      <c r="B481" s="19">
        <v>52701318925</v>
      </c>
      <c r="C481" t="s">
        <v>233</v>
      </c>
      <c r="D481" t="s">
        <v>5</v>
      </c>
      <c r="E481" t="s">
        <v>7</v>
      </c>
      <c r="F481" t="s">
        <v>427</v>
      </c>
      <c r="G481" t="s">
        <v>424</v>
      </c>
      <c r="H481" s="1">
        <v>27658</v>
      </c>
      <c r="I481" s="1" t="s">
        <v>433</v>
      </c>
      <c r="J481" t="s">
        <v>454</v>
      </c>
      <c r="K481" s="20">
        <v>35.9</v>
      </c>
      <c r="L481">
        <f ca="1">TRUNC((TODAY()-tBase[[#This Row],[Data Nascimento]])/365)</f>
        <v>50</v>
      </c>
      <c r="M481" t="str">
        <f ca="1">HLOOKUP(tBase[[#This Row],[Idade]],$O$3:$R$4,2,TRUE)</f>
        <v>44 - 54</v>
      </c>
    </row>
    <row r="482" spans="2:13">
      <c r="B482" s="19">
        <v>52730416333</v>
      </c>
      <c r="C482" t="s">
        <v>228</v>
      </c>
      <c r="D482" t="s">
        <v>6</v>
      </c>
      <c r="E482" t="s">
        <v>416</v>
      </c>
      <c r="F482" t="s">
        <v>13</v>
      </c>
      <c r="G482" t="s">
        <v>425</v>
      </c>
      <c r="H482" s="1">
        <v>32279</v>
      </c>
      <c r="I482" s="1" t="s">
        <v>433</v>
      </c>
      <c r="J482" t="s">
        <v>455</v>
      </c>
      <c r="K482" s="20">
        <v>9.9</v>
      </c>
      <c r="L482">
        <f ca="1">TRUNC((TODAY()-tBase[[#This Row],[Data Nascimento]])/365)</f>
        <v>37</v>
      </c>
      <c r="M482" t="str">
        <f ca="1">HLOOKUP(tBase[[#This Row],[Idade]],$O$3:$R$4,2,TRUE)</f>
        <v>35 - 44</v>
      </c>
    </row>
    <row r="483" spans="2:13">
      <c r="B483" s="19">
        <v>52741320194</v>
      </c>
      <c r="C483" t="s">
        <v>159</v>
      </c>
      <c r="D483" t="s">
        <v>5</v>
      </c>
      <c r="E483" t="s">
        <v>8</v>
      </c>
      <c r="F483" t="s">
        <v>9</v>
      </c>
      <c r="G483" t="s">
        <v>425</v>
      </c>
      <c r="H483" s="1">
        <v>26823</v>
      </c>
      <c r="I483" s="1" t="s">
        <v>433</v>
      </c>
      <c r="J483" t="s">
        <v>455</v>
      </c>
      <c r="K483" s="20">
        <v>9.9</v>
      </c>
      <c r="L483">
        <f ca="1">TRUNC((TODAY()-tBase[[#This Row],[Data Nascimento]])/365)</f>
        <v>52</v>
      </c>
      <c r="M483" t="str">
        <f ca="1">HLOOKUP(tBase[[#This Row],[Idade]],$O$3:$R$4,2,TRUE)</f>
        <v>44 - 54</v>
      </c>
    </row>
    <row r="484" spans="2:13">
      <c r="B484" s="19">
        <v>52803639273</v>
      </c>
      <c r="C484" t="s">
        <v>353</v>
      </c>
      <c r="D484" t="s">
        <v>5</v>
      </c>
      <c r="E484" t="s">
        <v>7</v>
      </c>
      <c r="F484" t="s">
        <v>427</v>
      </c>
      <c r="G484" t="s">
        <v>424</v>
      </c>
      <c r="H484" s="1">
        <v>32576</v>
      </c>
      <c r="I484" s="1" t="s">
        <v>433</v>
      </c>
      <c r="J484" t="s">
        <v>454</v>
      </c>
      <c r="K484" s="20">
        <v>35.9</v>
      </c>
      <c r="L484">
        <f ca="1">TRUNC((TODAY()-tBase[[#This Row],[Data Nascimento]])/365)</f>
        <v>36</v>
      </c>
      <c r="M484" t="str">
        <f ca="1">HLOOKUP(tBase[[#This Row],[Idade]],$O$3:$R$4,2,TRUE)</f>
        <v>35 - 44</v>
      </c>
    </row>
    <row r="485" spans="2:13">
      <c r="B485" s="19">
        <v>52822338787</v>
      </c>
      <c r="C485" t="s">
        <v>85</v>
      </c>
      <c r="D485" t="s">
        <v>6</v>
      </c>
      <c r="E485" t="s">
        <v>7</v>
      </c>
      <c r="F485" t="s">
        <v>427</v>
      </c>
      <c r="G485" t="s">
        <v>425</v>
      </c>
      <c r="H485" s="1">
        <v>28036</v>
      </c>
      <c r="I485" s="1" t="s">
        <v>433</v>
      </c>
      <c r="J485" t="s">
        <v>454</v>
      </c>
      <c r="K485" s="20">
        <v>35.9</v>
      </c>
      <c r="L485">
        <f ca="1">TRUNC((TODAY()-tBase[[#This Row],[Data Nascimento]])/365)</f>
        <v>49</v>
      </c>
      <c r="M485" t="str">
        <f ca="1">HLOOKUP(tBase[[#This Row],[Idade]],$O$3:$R$4,2,TRUE)</f>
        <v>44 - 54</v>
      </c>
    </row>
    <row r="486" spans="2:13">
      <c r="B486" s="19">
        <v>52838416344</v>
      </c>
      <c r="C486" t="s">
        <v>332</v>
      </c>
      <c r="D486" t="s">
        <v>6</v>
      </c>
      <c r="E486" t="s">
        <v>8</v>
      </c>
      <c r="F486" t="s">
        <v>13</v>
      </c>
      <c r="G486" t="s">
        <v>425</v>
      </c>
      <c r="H486" s="1">
        <v>20843</v>
      </c>
      <c r="I486" s="1" t="s">
        <v>433</v>
      </c>
      <c r="J486" t="s">
        <v>455</v>
      </c>
      <c r="K486" s="20">
        <v>9.9</v>
      </c>
      <c r="L486">
        <f ca="1">TRUNC((TODAY()-tBase[[#This Row],[Data Nascimento]])/365)</f>
        <v>69</v>
      </c>
      <c r="M486" t="str">
        <f ca="1">HLOOKUP(tBase[[#This Row],[Idade]],$O$3:$R$4,2,TRUE)</f>
        <v>54-70</v>
      </c>
    </row>
    <row r="487" spans="2:13">
      <c r="B487" s="19">
        <v>52969912178</v>
      </c>
      <c r="C487" t="s">
        <v>170</v>
      </c>
      <c r="D487" t="s">
        <v>6</v>
      </c>
      <c r="E487" t="s">
        <v>7</v>
      </c>
      <c r="F487" t="s">
        <v>13</v>
      </c>
      <c r="G487" t="s">
        <v>426</v>
      </c>
      <c r="H487" s="1">
        <v>28586</v>
      </c>
      <c r="I487" s="1" t="s">
        <v>433</v>
      </c>
      <c r="J487" t="s">
        <v>456</v>
      </c>
      <c r="K487" s="20">
        <v>79.900000000000006</v>
      </c>
      <c r="L487">
        <f ca="1">TRUNC((TODAY()-tBase[[#This Row],[Data Nascimento]])/365)</f>
        <v>47</v>
      </c>
      <c r="M487" t="str">
        <f ca="1">HLOOKUP(tBase[[#This Row],[Idade]],$O$3:$R$4,2,TRUE)</f>
        <v>44 - 54</v>
      </c>
    </row>
    <row r="488" spans="2:13">
      <c r="B488" s="19">
        <v>53085921994</v>
      </c>
      <c r="C488" t="s">
        <v>18</v>
      </c>
      <c r="D488" t="s">
        <v>5</v>
      </c>
      <c r="E488" t="s">
        <v>417</v>
      </c>
      <c r="F488" t="s">
        <v>11</v>
      </c>
      <c r="G488" t="s">
        <v>426</v>
      </c>
      <c r="H488" s="1">
        <v>33889</v>
      </c>
      <c r="I488" s="1" t="s">
        <v>429</v>
      </c>
      <c r="J488" t="s">
        <v>456</v>
      </c>
      <c r="K488" s="20">
        <v>79.900000000000006</v>
      </c>
      <c r="L488">
        <f ca="1">TRUNC((TODAY()-tBase[[#This Row],[Data Nascimento]])/365)</f>
        <v>33</v>
      </c>
      <c r="M488" t="str">
        <f ca="1">HLOOKUP(tBase[[#This Row],[Idade]],$O$3:$R$4,2,TRUE)</f>
        <v>24-34</v>
      </c>
    </row>
    <row r="489" spans="2:13">
      <c r="B489" s="19">
        <v>53104808484</v>
      </c>
      <c r="C489" t="s">
        <v>169</v>
      </c>
      <c r="D489" t="s">
        <v>6</v>
      </c>
      <c r="E489" t="s">
        <v>8</v>
      </c>
      <c r="F489" t="s">
        <v>12</v>
      </c>
      <c r="G489" t="s">
        <v>424</v>
      </c>
      <c r="H489" s="1">
        <v>34593</v>
      </c>
      <c r="I489" s="1" t="s">
        <v>432</v>
      </c>
      <c r="J489" t="s">
        <v>454</v>
      </c>
      <c r="K489" s="20">
        <v>35.9</v>
      </c>
      <c r="L489">
        <f ca="1">TRUNC((TODAY()-tBase[[#This Row],[Data Nascimento]])/365)</f>
        <v>31</v>
      </c>
      <c r="M489" t="str">
        <f ca="1">HLOOKUP(tBase[[#This Row],[Idade]],$O$3:$R$4,2,TRUE)</f>
        <v>24-34</v>
      </c>
    </row>
    <row r="490" spans="2:13">
      <c r="B490" s="19">
        <v>53144306711</v>
      </c>
      <c r="C490" t="s">
        <v>282</v>
      </c>
      <c r="D490" t="s">
        <v>6</v>
      </c>
      <c r="E490" t="s">
        <v>8</v>
      </c>
      <c r="F490" t="s">
        <v>11</v>
      </c>
      <c r="G490" t="s">
        <v>424</v>
      </c>
      <c r="H490" s="1">
        <v>31271</v>
      </c>
      <c r="I490" s="1" t="s">
        <v>436</v>
      </c>
      <c r="J490" t="s">
        <v>456</v>
      </c>
      <c r="K490" s="20">
        <v>79.900000000000006</v>
      </c>
      <c r="L490">
        <f ca="1">TRUNC((TODAY()-tBase[[#This Row],[Data Nascimento]])/365)</f>
        <v>40</v>
      </c>
      <c r="M490" t="str">
        <f ca="1">HLOOKUP(tBase[[#This Row],[Idade]],$O$3:$R$4,2,TRUE)</f>
        <v>35 - 44</v>
      </c>
    </row>
    <row r="491" spans="2:13">
      <c r="B491" s="19">
        <v>53226935462</v>
      </c>
      <c r="C491" t="s">
        <v>18</v>
      </c>
      <c r="D491" t="s">
        <v>5</v>
      </c>
      <c r="E491" t="s">
        <v>417</v>
      </c>
      <c r="F491" t="s">
        <v>11</v>
      </c>
      <c r="G491" t="s">
        <v>426</v>
      </c>
      <c r="H491" s="1">
        <v>22653</v>
      </c>
      <c r="I491" s="1" t="s">
        <v>436</v>
      </c>
      <c r="J491" t="s">
        <v>456</v>
      </c>
      <c r="K491" s="20">
        <v>79.900000000000006</v>
      </c>
      <c r="L491">
        <f ca="1">TRUNC((TODAY()-tBase[[#This Row],[Data Nascimento]])/365)</f>
        <v>64</v>
      </c>
      <c r="M491" t="str">
        <f ca="1">HLOOKUP(tBase[[#This Row],[Idade]],$O$3:$R$4,2,TRUE)</f>
        <v>54-70</v>
      </c>
    </row>
    <row r="492" spans="2:13">
      <c r="B492" s="19">
        <v>53264395264</v>
      </c>
      <c r="C492" t="s">
        <v>300</v>
      </c>
      <c r="D492" t="s">
        <v>6</v>
      </c>
      <c r="E492" t="s">
        <v>7</v>
      </c>
      <c r="F492" t="s">
        <v>13</v>
      </c>
      <c r="G492" t="s">
        <v>425</v>
      </c>
      <c r="H492" s="1">
        <v>27505</v>
      </c>
      <c r="I492" s="1" t="s">
        <v>436</v>
      </c>
      <c r="J492" t="s">
        <v>455</v>
      </c>
      <c r="K492" s="20">
        <v>9.9</v>
      </c>
      <c r="L492">
        <f ca="1">TRUNC((TODAY()-tBase[[#This Row],[Data Nascimento]])/365)</f>
        <v>50</v>
      </c>
      <c r="M492" t="str">
        <f ca="1">HLOOKUP(tBase[[#This Row],[Idade]],$O$3:$R$4,2,TRUE)</f>
        <v>44 - 54</v>
      </c>
    </row>
    <row r="493" spans="2:13">
      <c r="B493" s="19">
        <v>53325037620</v>
      </c>
      <c r="C493" t="s">
        <v>227</v>
      </c>
      <c r="D493" t="s">
        <v>5</v>
      </c>
      <c r="E493" t="s">
        <v>7</v>
      </c>
      <c r="F493" t="s">
        <v>13</v>
      </c>
      <c r="G493" t="s">
        <v>425</v>
      </c>
      <c r="H493" s="1">
        <v>30956</v>
      </c>
      <c r="I493" s="1" t="s">
        <v>436</v>
      </c>
      <c r="J493" t="s">
        <v>453</v>
      </c>
      <c r="K493" s="20">
        <v>29.9</v>
      </c>
      <c r="L493">
        <f ca="1">TRUNC((TODAY()-tBase[[#This Row],[Data Nascimento]])/365)</f>
        <v>41</v>
      </c>
      <c r="M493" t="str">
        <f ca="1">HLOOKUP(tBase[[#This Row],[Idade]],$O$3:$R$4,2,TRUE)</f>
        <v>35 - 44</v>
      </c>
    </row>
    <row r="494" spans="2:13">
      <c r="B494" s="19">
        <v>53398120004</v>
      </c>
      <c r="C494" t="s">
        <v>68</v>
      </c>
      <c r="D494" t="s">
        <v>5</v>
      </c>
      <c r="E494" t="s">
        <v>416</v>
      </c>
      <c r="F494" t="s">
        <v>13</v>
      </c>
      <c r="G494" t="s">
        <v>425</v>
      </c>
      <c r="H494" s="1">
        <v>31304</v>
      </c>
      <c r="I494" s="1" t="s">
        <v>436</v>
      </c>
      <c r="J494" t="s">
        <v>455</v>
      </c>
      <c r="K494" s="20">
        <v>9.9</v>
      </c>
      <c r="L494">
        <f ca="1">TRUNC((TODAY()-tBase[[#This Row],[Data Nascimento]])/365)</f>
        <v>40</v>
      </c>
      <c r="M494" t="str">
        <f ca="1">HLOOKUP(tBase[[#This Row],[Idade]],$O$3:$R$4,2,TRUE)</f>
        <v>35 - 44</v>
      </c>
    </row>
    <row r="495" spans="2:13">
      <c r="B495" s="19">
        <v>53544540367</v>
      </c>
      <c r="C495" t="s">
        <v>366</v>
      </c>
      <c r="D495" t="s">
        <v>5</v>
      </c>
      <c r="E495" t="s">
        <v>417</v>
      </c>
      <c r="F495" t="s">
        <v>11</v>
      </c>
      <c r="G495" t="s">
        <v>426</v>
      </c>
      <c r="H495" s="1">
        <v>32321</v>
      </c>
      <c r="I495" s="1" t="s">
        <v>436</v>
      </c>
      <c r="J495" t="s">
        <v>456</v>
      </c>
      <c r="K495" s="20">
        <v>79.900000000000006</v>
      </c>
      <c r="L495">
        <f ca="1">TRUNC((TODAY()-tBase[[#This Row],[Data Nascimento]])/365)</f>
        <v>37</v>
      </c>
      <c r="M495" t="str">
        <f ca="1">HLOOKUP(tBase[[#This Row],[Idade]],$O$3:$R$4,2,TRUE)</f>
        <v>35 - 44</v>
      </c>
    </row>
    <row r="496" spans="2:13">
      <c r="B496" s="19">
        <v>53556010406</v>
      </c>
      <c r="C496" t="s">
        <v>285</v>
      </c>
      <c r="D496" t="s">
        <v>5</v>
      </c>
      <c r="E496" t="s">
        <v>7</v>
      </c>
      <c r="F496" t="s">
        <v>427</v>
      </c>
      <c r="G496" t="s">
        <v>425</v>
      </c>
      <c r="H496" s="1">
        <v>25705</v>
      </c>
      <c r="I496" s="1" t="s">
        <v>435</v>
      </c>
      <c r="J496" t="s">
        <v>455</v>
      </c>
      <c r="K496" s="20">
        <v>9.9</v>
      </c>
      <c r="L496">
        <f ca="1">TRUNC((TODAY()-tBase[[#This Row],[Data Nascimento]])/365)</f>
        <v>55</v>
      </c>
      <c r="M496" t="str">
        <f ca="1">HLOOKUP(tBase[[#This Row],[Idade]],$O$3:$R$4,2,TRUE)</f>
        <v>54-70</v>
      </c>
    </row>
    <row r="497" spans="2:13">
      <c r="B497" s="19">
        <v>53620445355</v>
      </c>
      <c r="C497" t="s">
        <v>180</v>
      </c>
      <c r="D497" t="s">
        <v>5</v>
      </c>
      <c r="E497" t="s">
        <v>7</v>
      </c>
      <c r="F497" t="s">
        <v>13</v>
      </c>
      <c r="G497" t="s">
        <v>425</v>
      </c>
      <c r="H497" s="1">
        <v>21797</v>
      </c>
      <c r="I497" s="1" t="s">
        <v>433</v>
      </c>
      <c r="J497" t="s">
        <v>455</v>
      </c>
      <c r="K497" s="20">
        <v>9.9</v>
      </c>
      <c r="L497">
        <f ca="1">TRUNC((TODAY()-tBase[[#This Row],[Data Nascimento]])/365)</f>
        <v>66</v>
      </c>
      <c r="M497" t="str">
        <f ca="1">HLOOKUP(tBase[[#This Row],[Idade]],$O$3:$R$4,2,TRUE)</f>
        <v>54-70</v>
      </c>
    </row>
    <row r="498" spans="2:13">
      <c r="B498" s="19">
        <v>53634568625</v>
      </c>
      <c r="C498" t="s">
        <v>240</v>
      </c>
      <c r="D498" t="s">
        <v>6</v>
      </c>
      <c r="E498" t="s">
        <v>7</v>
      </c>
      <c r="F498" t="s">
        <v>13</v>
      </c>
      <c r="G498" t="s">
        <v>426</v>
      </c>
      <c r="H498" s="1">
        <v>29711</v>
      </c>
      <c r="I498" s="1" t="s">
        <v>433</v>
      </c>
      <c r="J498" t="s">
        <v>454</v>
      </c>
      <c r="K498" s="20">
        <v>35.9</v>
      </c>
      <c r="L498">
        <f ca="1">TRUNC((TODAY()-tBase[[#This Row],[Data Nascimento]])/365)</f>
        <v>44</v>
      </c>
      <c r="M498" t="str">
        <f ca="1">HLOOKUP(tBase[[#This Row],[Idade]],$O$3:$R$4,2,TRUE)</f>
        <v>44 - 54</v>
      </c>
    </row>
    <row r="499" spans="2:13">
      <c r="B499" s="19">
        <v>53741571286</v>
      </c>
      <c r="C499" t="s">
        <v>66</v>
      </c>
      <c r="D499" t="s">
        <v>5</v>
      </c>
      <c r="E499" t="s">
        <v>417</v>
      </c>
      <c r="F499" t="s">
        <v>11</v>
      </c>
      <c r="G499" t="s">
        <v>426</v>
      </c>
      <c r="H499" s="1">
        <v>35171</v>
      </c>
      <c r="I499" s="1" t="s">
        <v>433</v>
      </c>
      <c r="J499" t="s">
        <v>456</v>
      </c>
      <c r="K499" s="20">
        <v>79.900000000000006</v>
      </c>
      <c r="L499">
        <f ca="1">TRUNC((TODAY()-tBase[[#This Row],[Data Nascimento]])/365)</f>
        <v>29</v>
      </c>
      <c r="M499" t="str">
        <f ca="1">HLOOKUP(tBase[[#This Row],[Idade]],$O$3:$R$4,2,TRUE)</f>
        <v>24-34</v>
      </c>
    </row>
    <row r="500" spans="2:13">
      <c r="B500" s="19">
        <v>53837589861</v>
      </c>
      <c r="C500" t="s">
        <v>78</v>
      </c>
      <c r="D500" t="s">
        <v>5</v>
      </c>
      <c r="E500" t="s">
        <v>417</v>
      </c>
      <c r="F500" t="s">
        <v>11</v>
      </c>
      <c r="G500" t="s">
        <v>426</v>
      </c>
      <c r="H500" s="1">
        <v>30733</v>
      </c>
      <c r="I500" s="1" t="s">
        <v>433</v>
      </c>
      <c r="J500" t="s">
        <v>456</v>
      </c>
      <c r="K500" s="20">
        <v>79.900000000000006</v>
      </c>
      <c r="L500">
        <f ca="1">TRUNC((TODAY()-tBase[[#This Row],[Data Nascimento]])/365)</f>
        <v>41</v>
      </c>
      <c r="M500" t="str">
        <f ca="1">HLOOKUP(tBase[[#This Row],[Idade]],$O$3:$R$4,2,TRUE)</f>
        <v>35 - 44</v>
      </c>
    </row>
    <row r="501" spans="2:13">
      <c r="B501" s="19">
        <v>53837650572</v>
      </c>
      <c r="C501" t="s">
        <v>307</v>
      </c>
      <c r="D501" t="s">
        <v>5</v>
      </c>
      <c r="E501" t="s">
        <v>7</v>
      </c>
      <c r="F501" t="s">
        <v>12</v>
      </c>
      <c r="G501" t="s">
        <v>425</v>
      </c>
      <c r="H501" s="1">
        <v>32699</v>
      </c>
      <c r="I501" s="1" t="s">
        <v>433</v>
      </c>
      <c r="J501" t="s">
        <v>455</v>
      </c>
      <c r="K501" s="20">
        <v>9.9</v>
      </c>
      <c r="L501">
        <f ca="1">TRUNC((TODAY()-tBase[[#This Row],[Data Nascimento]])/365)</f>
        <v>36</v>
      </c>
      <c r="M501" t="str">
        <f ca="1">HLOOKUP(tBase[[#This Row],[Idade]],$O$3:$R$4,2,TRUE)</f>
        <v>35 - 44</v>
      </c>
    </row>
    <row r="502" spans="2:13">
      <c r="B502" s="19">
        <v>53842530303</v>
      </c>
      <c r="C502" t="s">
        <v>188</v>
      </c>
      <c r="D502" t="s">
        <v>5</v>
      </c>
      <c r="E502" t="s">
        <v>416</v>
      </c>
      <c r="F502" t="s">
        <v>13</v>
      </c>
      <c r="G502" t="s">
        <v>425</v>
      </c>
      <c r="H502" s="1">
        <v>34346</v>
      </c>
      <c r="I502" s="1" t="s">
        <v>430</v>
      </c>
      <c r="J502" t="s">
        <v>455</v>
      </c>
      <c r="K502" s="20">
        <v>9.9</v>
      </c>
      <c r="L502">
        <f ca="1">TRUNC((TODAY()-tBase[[#This Row],[Data Nascimento]])/365)</f>
        <v>32</v>
      </c>
      <c r="M502" t="str">
        <f ca="1">HLOOKUP(tBase[[#This Row],[Idade]],$O$3:$R$4,2,TRUE)</f>
        <v>24-34</v>
      </c>
    </row>
    <row r="503" spans="2:13">
      <c r="B503" s="19">
        <v>53865937688</v>
      </c>
      <c r="C503" t="s">
        <v>50</v>
      </c>
      <c r="D503" t="s">
        <v>5</v>
      </c>
      <c r="E503" t="s">
        <v>7</v>
      </c>
      <c r="F503" t="s">
        <v>13</v>
      </c>
      <c r="G503" t="s">
        <v>426</v>
      </c>
      <c r="H503" s="1">
        <v>31691</v>
      </c>
      <c r="I503" s="1" t="s">
        <v>429</v>
      </c>
      <c r="J503" t="s">
        <v>456</v>
      </c>
      <c r="K503" s="20">
        <v>79.900000000000006</v>
      </c>
      <c r="L503">
        <f ca="1">TRUNC((TODAY()-tBase[[#This Row],[Data Nascimento]])/365)</f>
        <v>39</v>
      </c>
      <c r="M503" t="str">
        <f ca="1">HLOOKUP(tBase[[#This Row],[Idade]],$O$3:$R$4,2,TRUE)</f>
        <v>35 - 44</v>
      </c>
    </row>
    <row r="504" spans="2:13">
      <c r="B504" s="19">
        <v>53921313520</v>
      </c>
      <c r="C504" t="s">
        <v>94</v>
      </c>
      <c r="D504" t="s">
        <v>6</v>
      </c>
      <c r="E504" t="s">
        <v>417</v>
      </c>
      <c r="F504" t="s">
        <v>427</v>
      </c>
      <c r="G504" t="s">
        <v>425</v>
      </c>
      <c r="H504" s="1">
        <v>30267</v>
      </c>
      <c r="I504" s="1" t="s">
        <v>431</v>
      </c>
      <c r="J504" t="s">
        <v>453</v>
      </c>
      <c r="K504" s="20">
        <v>29.9</v>
      </c>
      <c r="L504">
        <f ca="1">TRUNC((TODAY()-tBase[[#This Row],[Data Nascimento]])/365)</f>
        <v>43</v>
      </c>
      <c r="M504" t="str">
        <f ca="1">HLOOKUP(tBase[[#This Row],[Idade]],$O$3:$R$4,2,TRUE)</f>
        <v>35 - 44</v>
      </c>
    </row>
    <row r="505" spans="2:13">
      <c r="B505" s="19">
        <v>53994694316</v>
      </c>
      <c r="C505" t="s">
        <v>193</v>
      </c>
      <c r="D505" t="s">
        <v>5</v>
      </c>
      <c r="E505" t="s">
        <v>7</v>
      </c>
      <c r="F505" t="s">
        <v>12</v>
      </c>
      <c r="G505" t="s">
        <v>424</v>
      </c>
      <c r="H505" s="1">
        <v>31146</v>
      </c>
      <c r="I505" s="1" t="s">
        <v>432</v>
      </c>
      <c r="J505" t="s">
        <v>454</v>
      </c>
      <c r="K505" s="20">
        <v>35.9</v>
      </c>
      <c r="L505">
        <f ca="1">TRUNC((TODAY()-tBase[[#This Row],[Data Nascimento]])/365)</f>
        <v>40</v>
      </c>
      <c r="M505" t="str">
        <f ca="1">HLOOKUP(tBase[[#This Row],[Idade]],$O$3:$R$4,2,TRUE)</f>
        <v>35 - 44</v>
      </c>
    </row>
    <row r="506" spans="2:13">
      <c r="B506" s="19">
        <v>54171024069</v>
      </c>
      <c r="C506" t="s">
        <v>67</v>
      </c>
      <c r="D506" t="s">
        <v>6</v>
      </c>
      <c r="E506" t="s">
        <v>7</v>
      </c>
      <c r="F506" t="s">
        <v>12</v>
      </c>
      <c r="G506" t="s">
        <v>425</v>
      </c>
      <c r="H506" s="1">
        <v>26935</v>
      </c>
      <c r="I506" s="1" t="s">
        <v>434</v>
      </c>
      <c r="J506" t="s">
        <v>455</v>
      </c>
      <c r="K506" s="20">
        <v>9.9</v>
      </c>
      <c r="L506">
        <f ca="1">TRUNC((TODAY()-tBase[[#This Row],[Data Nascimento]])/365)</f>
        <v>52</v>
      </c>
      <c r="M506" t="str">
        <f ca="1">HLOOKUP(tBase[[#This Row],[Idade]],$O$3:$R$4,2,TRUE)</f>
        <v>44 - 54</v>
      </c>
    </row>
    <row r="507" spans="2:13">
      <c r="B507" s="19">
        <v>54198810657</v>
      </c>
      <c r="C507" t="s">
        <v>387</v>
      </c>
      <c r="D507" t="s">
        <v>6</v>
      </c>
      <c r="E507" t="s">
        <v>7</v>
      </c>
      <c r="F507" t="s">
        <v>9</v>
      </c>
      <c r="G507" t="s">
        <v>425</v>
      </c>
      <c r="H507" s="1">
        <v>34828</v>
      </c>
      <c r="I507" s="1" t="s">
        <v>430</v>
      </c>
      <c r="J507" t="s">
        <v>455</v>
      </c>
      <c r="K507" s="20">
        <v>9.9</v>
      </c>
      <c r="L507">
        <f ca="1">TRUNC((TODAY()-tBase[[#This Row],[Data Nascimento]])/365)</f>
        <v>30</v>
      </c>
      <c r="M507" t="str">
        <f ca="1">HLOOKUP(tBase[[#This Row],[Idade]],$O$3:$R$4,2,TRUE)</f>
        <v>24-34</v>
      </c>
    </row>
    <row r="508" spans="2:13">
      <c r="B508" s="19">
        <v>54217073384</v>
      </c>
      <c r="C508" t="s">
        <v>58</v>
      </c>
      <c r="D508" t="s">
        <v>5</v>
      </c>
      <c r="E508" t="s">
        <v>417</v>
      </c>
      <c r="F508" t="s">
        <v>14</v>
      </c>
      <c r="G508" t="s">
        <v>426</v>
      </c>
      <c r="H508" s="1">
        <v>24976</v>
      </c>
      <c r="I508" s="1" t="s">
        <v>435</v>
      </c>
      <c r="J508" t="s">
        <v>453</v>
      </c>
      <c r="K508" s="20">
        <v>29.9</v>
      </c>
      <c r="L508">
        <f ca="1">TRUNC((TODAY()-tBase[[#This Row],[Data Nascimento]])/365)</f>
        <v>57</v>
      </c>
      <c r="M508" t="str">
        <f ca="1">HLOOKUP(tBase[[#This Row],[Idade]],$O$3:$R$4,2,TRUE)</f>
        <v>54-70</v>
      </c>
    </row>
    <row r="509" spans="2:13">
      <c r="B509" s="19">
        <v>54339224143</v>
      </c>
      <c r="C509" t="s">
        <v>382</v>
      </c>
      <c r="D509" t="s">
        <v>5</v>
      </c>
      <c r="E509" t="s">
        <v>8</v>
      </c>
      <c r="F509" t="s">
        <v>427</v>
      </c>
      <c r="G509" t="s">
        <v>424</v>
      </c>
      <c r="H509" s="1">
        <v>22554</v>
      </c>
      <c r="I509" s="1" t="s">
        <v>436</v>
      </c>
      <c r="J509" t="s">
        <v>453</v>
      </c>
      <c r="K509" s="20">
        <v>29.9</v>
      </c>
      <c r="L509">
        <f ca="1">TRUNC((TODAY()-tBase[[#This Row],[Data Nascimento]])/365)</f>
        <v>64</v>
      </c>
      <c r="M509" t="str">
        <f ca="1">HLOOKUP(tBase[[#This Row],[Idade]],$O$3:$R$4,2,TRUE)</f>
        <v>54-70</v>
      </c>
    </row>
    <row r="510" spans="2:13">
      <c r="B510" s="19">
        <v>54411067391</v>
      </c>
      <c r="C510" t="s">
        <v>32</v>
      </c>
      <c r="D510" t="s">
        <v>5</v>
      </c>
      <c r="E510" t="s">
        <v>8</v>
      </c>
      <c r="F510" t="s">
        <v>13</v>
      </c>
      <c r="G510" t="s">
        <v>425</v>
      </c>
      <c r="H510" s="1">
        <v>31057</v>
      </c>
      <c r="I510" s="1" t="s">
        <v>430</v>
      </c>
      <c r="J510" t="s">
        <v>453</v>
      </c>
      <c r="K510" s="20">
        <v>29.9</v>
      </c>
      <c r="L510">
        <f ca="1">TRUNC((TODAY()-tBase[[#This Row],[Data Nascimento]])/365)</f>
        <v>41</v>
      </c>
      <c r="M510" t="str">
        <f ca="1">HLOOKUP(tBase[[#This Row],[Idade]],$O$3:$R$4,2,TRUE)</f>
        <v>35 - 44</v>
      </c>
    </row>
    <row r="511" spans="2:13">
      <c r="B511" s="19">
        <v>54476634976</v>
      </c>
      <c r="C511" t="s">
        <v>183</v>
      </c>
      <c r="D511" t="s">
        <v>5</v>
      </c>
      <c r="E511" t="s">
        <v>7</v>
      </c>
      <c r="F511" t="s">
        <v>9</v>
      </c>
      <c r="G511" t="s">
        <v>424</v>
      </c>
      <c r="H511" s="1">
        <v>30335</v>
      </c>
      <c r="I511" s="1" t="s">
        <v>435</v>
      </c>
      <c r="J511" t="s">
        <v>453</v>
      </c>
      <c r="K511" s="20">
        <v>29.9</v>
      </c>
      <c r="L511">
        <f ca="1">TRUNC((TODAY()-tBase[[#This Row],[Data Nascimento]])/365)</f>
        <v>43</v>
      </c>
      <c r="M511" t="str">
        <f ca="1">HLOOKUP(tBase[[#This Row],[Idade]],$O$3:$R$4,2,TRUE)</f>
        <v>35 - 44</v>
      </c>
    </row>
    <row r="512" spans="2:13">
      <c r="B512" s="19">
        <v>54506367236</v>
      </c>
      <c r="C512" t="s">
        <v>108</v>
      </c>
      <c r="D512" t="s">
        <v>6</v>
      </c>
      <c r="E512" t="s">
        <v>416</v>
      </c>
      <c r="F512" t="s">
        <v>13</v>
      </c>
      <c r="G512" t="s">
        <v>425</v>
      </c>
      <c r="H512" s="1">
        <v>23634</v>
      </c>
      <c r="I512" s="1" t="s">
        <v>436</v>
      </c>
      <c r="J512" t="s">
        <v>455</v>
      </c>
      <c r="K512" s="20">
        <v>9.9</v>
      </c>
      <c r="L512">
        <f ca="1">TRUNC((TODAY()-tBase[[#This Row],[Data Nascimento]])/365)</f>
        <v>61</v>
      </c>
      <c r="M512" t="str">
        <f ca="1">HLOOKUP(tBase[[#This Row],[Idade]],$O$3:$R$4,2,TRUE)</f>
        <v>54-70</v>
      </c>
    </row>
    <row r="513" spans="2:13">
      <c r="B513" s="19">
        <v>54526384776</v>
      </c>
      <c r="C513" t="s">
        <v>280</v>
      </c>
      <c r="D513" t="s">
        <v>6</v>
      </c>
      <c r="E513" t="s">
        <v>7</v>
      </c>
      <c r="F513" t="s">
        <v>14</v>
      </c>
      <c r="G513" t="s">
        <v>426</v>
      </c>
      <c r="H513" s="1">
        <v>29970</v>
      </c>
      <c r="I513" s="1" t="s">
        <v>433</v>
      </c>
      <c r="J513" t="s">
        <v>455</v>
      </c>
      <c r="K513" s="20">
        <v>9.9</v>
      </c>
      <c r="L513">
        <f ca="1">TRUNC((TODAY()-tBase[[#This Row],[Data Nascimento]])/365)</f>
        <v>44</v>
      </c>
      <c r="M513" t="str">
        <f ca="1">HLOOKUP(tBase[[#This Row],[Idade]],$O$3:$R$4,2,TRUE)</f>
        <v>44 - 54</v>
      </c>
    </row>
    <row r="514" spans="2:13">
      <c r="B514" s="19">
        <v>54711975966</v>
      </c>
      <c r="C514" t="s">
        <v>274</v>
      </c>
      <c r="D514" t="s">
        <v>6</v>
      </c>
      <c r="E514" t="s">
        <v>417</v>
      </c>
      <c r="F514" t="s">
        <v>14</v>
      </c>
      <c r="G514" t="s">
        <v>425</v>
      </c>
      <c r="H514" s="1">
        <v>29826</v>
      </c>
      <c r="I514" s="1" t="s">
        <v>433</v>
      </c>
      <c r="J514" t="s">
        <v>453</v>
      </c>
      <c r="K514" s="20">
        <v>29.9</v>
      </c>
      <c r="L514">
        <f ca="1">TRUNC((TODAY()-tBase[[#This Row],[Data Nascimento]])/365)</f>
        <v>44</v>
      </c>
      <c r="M514" t="str">
        <f ca="1">HLOOKUP(tBase[[#This Row],[Idade]],$O$3:$R$4,2,TRUE)</f>
        <v>44 - 54</v>
      </c>
    </row>
    <row r="515" spans="2:13">
      <c r="B515" s="19">
        <v>54742058650</v>
      </c>
      <c r="C515" t="s">
        <v>59</v>
      </c>
      <c r="D515" t="s">
        <v>6</v>
      </c>
      <c r="E515" t="s">
        <v>8</v>
      </c>
      <c r="F515" t="s">
        <v>13</v>
      </c>
      <c r="G515" t="s">
        <v>426</v>
      </c>
      <c r="H515" s="1">
        <v>25846</v>
      </c>
      <c r="I515" s="1" t="s">
        <v>433</v>
      </c>
      <c r="J515" t="s">
        <v>453</v>
      </c>
      <c r="K515" s="20">
        <v>29.9</v>
      </c>
      <c r="L515">
        <f ca="1">TRUNC((TODAY()-tBase[[#This Row],[Data Nascimento]])/365)</f>
        <v>55</v>
      </c>
      <c r="M515" t="str">
        <f ca="1">HLOOKUP(tBase[[#This Row],[Idade]],$O$3:$R$4,2,TRUE)</f>
        <v>54-70</v>
      </c>
    </row>
    <row r="516" spans="2:13">
      <c r="B516" s="19">
        <v>54783687741</v>
      </c>
      <c r="C516" t="s">
        <v>37</v>
      </c>
      <c r="D516" t="s">
        <v>6</v>
      </c>
      <c r="E516" t="s">
        <v>7</v>
      </c>
      <c r="F516" t="s">
        <v>427</v>
      </c>
      <c r="G516" t="s">
        <v>425</v>
      </c>
      <c r="H516" s="1">
        <v>32444</v>
      </c>
      <c r="I516" s="1" t="s">
        <v>433</v>
      </c>
      <c r="J516" t="s">
        <v>454</v>
      </c>
      <c r="K516" s="20">
        <v>35.9</v>
      </c>
      <c r="L516">
        <f ca="1">TRUNC((TODAY()-tBase[[#This Row],[Data Nascimento]])/365)</f>
        <v>37</v>
      </c>
      <c r="M516" t="str">
        <f ca="1">HLOOKUP(tBase[[#This Row],[Idade]],$O$3:$R$4,2,TRUE)</f>
        <v>35 - 44</v>
      </c>
    </row>
    <row r="517" spans="2:13">
      <c r="B517" s="19">
        <v>54799023278</v>
      </c>
      <c r="C517" t="s">
        <v>368</v>
      </c>
      <c r="D517" t="s">
        <v>5</v>
      </c>
      <c r="E517" t="s">
        <v>416</v>
      </c>
      <c r="F517" t="s">
        <v>13</v>
      </c>
      <c r="G517" t="s">
        <v>425</v>
      </c>
      <c r="H517" s="1">
        <v>24833</v>
      </c>
      <c r="I517" s="1" t="s">
        <v>433</v>
      </c>
      <c r="J517" t="s">
        <v>453</v>
      </c>
      <c r="K517" s="20">
        <v>29.9</v>
      </c>
      <c r="L517">
        <f ca="1">TRUNC((TODAY()-tBase[[#This Row],[Data Nascimento]])/365)</f>
        <v>58</v>
      </c>
      <c r="M517" t="str">
        <f ca="1">HLOOKUP(tBase[[#This Row],[Idade]],$O$3:$R$4,2,TRUE)</f>
        <v>54-70</v>
      </c>
    </row>
    <row r="518" spans="2:13">
      <c r="B518" s="19">
        <v>54839142796</v>
      </c>
      <c r="C518" t="s">
        <v>186</v>
      </c>
      <c r="D518" t="s">
        <v>5</v>
      </c>
      <c r="E518" t="s">
        <v>417</v>
      </c>
      <c r="F518" t="s">
        <v>11</v>
      </c>
      <c r="G518" t="s">
        <v>426</v>
      </c>
      <c r="H518" s="1">
        <v>34807</v>
      </c>
      <c r="I518" s="1" t="s">
        <v>433</v>
      </c>
      <c r="J518" t="s">
        <v>456</v>
      </c>
      <c r="K518" s="20">
        <v>79.900000000000006</v>
      </c>
      <c r="L518">
        <f ca="1">TRUNC((TODAY()-tBase[[#This Row],[Data Nascimento]])/365)</f>
        <v>30</v>
      </c>
      <c r="M518" t="str">
        <f ca="1">HLOOKUP(tBase[[#This Row],[Idade]],$O$3:$R$4,2,TRUE)</f>
        <v>24-34</v>
      </c>
    </row>
    <row r="519" spans="2:13">
      <c r="B519" s="19">
        <v>55064239822</v>
      </c>
      <c r="C519" t="s">
        <v>42</v>
      </c>
      <c r="D519" t="s">
        <v>5</v>
      </c>
      <c r="E519" t="s">
        <v>8</v>
      </c>
      <c r="F519" t="s">
        <v>11</v>
      </c>
      <c r="G519" t="s">
        <v>424</v>
      </c>
      <c r="H519" s="1">
        <v>20881</v>
      </c>
      <c r="I519" s="1" t="s">
        <v>433</v>
      </c>
      <c r="J519" t="s">
        <v>456</v>
      </c>
      <c r="K519" s="20">
        <v>79.900000000000006</v>
      </c>
      <c r="L519">
        <f ca="1">TRUNC((TODAY()-tBase[[#This Row],[Data Nascimento]])/365)</f>
        <v>68</v>
      </c>
      <c r="M519" t="str">
        <f ca="1">HLOOKUP(tBase[[#This Row],[Idade]],$O$3:$R$4,2,TRUE)</f>
        <v>54-70</v>
      </c>
    </row>
    <row r="520" spans="2:13">
      <c r="B520" s="19">
        <v>55151517281</v>
      </c>
      <c r="C520" t="s">
        <v>222</v>
      </c>
      <c r="D520" t="s">
        <v>6</v>
      </c>
      <c r="E520" t="s">
        <v>8</v>
      </c>
      <c r="F520" t="s">
        <v>11</v>
      </c>
      <c r="G520" t="s">
        <v>424</v>
      </c>
      <c r="H520" s="1">
        <v>32628</v>
      </c>
      <c r="I520" s="1" t="s">
        <v>433</v>
      </c>
      <c r="J520" t="s">
        <v>456</v>
      </c>
      <c r="K520" s="20">
        <v>79.900000000000006</v>
      </c>
      <c r="L520">
        <f ca="1">TRUNC((TODAY()-tBase[[#This Row],[Data Nascimento]])/365)</f>
        <v>36</v>
      </c>
      <c r="M520" t="str">
        <f ca="1">HLOOKUP(tBase[[#This Row],[Idade]],$O$3:$R$4,2,TRUE)</f>
        <v>35 - 44</v>
      </c>
    </row>
    <row r="521" spans="2:13">
      <c r="B521" s="19">
        <v>55201624465</v>
      </c>
      <c r="C521" t="s">
        <v>232</v>
      </c>
      <c r="D521" t="s">
        <v>5</v>
      </c>
      <c r="E521" t="s">
        <v>8</v>
      </c>
      <c r="F521" t="s">
        <v>14</v>
      </c>
      <c r="G521" t="s">
        <v>425</v>
      </c>
      <c r="H521" s="1">
        <v>26303</v>
      </c>
      <c r="I521" s="1" t="s">
        <v>433</v>
      </c>
      <c r="J521" t="s">
        <v>455</v>
      </c>
      <c r="K521" s="20">
        <v>9.9</v>
      </c>
      <c r="L521">
        <f ca="1">TRUNC((TODAY()-tBase[[#This Row],[Data Nascimento]])/365)</f>
        <v>54</v>
      </c>
      <c r="M521" t="str">
        <f ca="1">HLOOKUP(tBase[[#This Row],[Idade]],$O$3:$R$4,2,TRUE)</f>
        <v>54-70</v>
      </c>
    </row>
    <row r="522" spans="2:13">
      <c r="B522" s="19">
        <v>55228283525</v>
      </c>
      <c r="C522" t="s">
        <v>312</v>
      </c>
      <c r="D522" t="s">
        <v>6</v>
      </c>
      <c r="E522" t="s">
        <v>8</v>
      </c>
      <c r="F522" t="s">
        <v>13</v>
      </c>
      <c r="G522" t="s">
        <v>425</v>
      </c>
      <c r="H522" s="1">
        <v>25954</v>
      </c>
      <c r="I522" s="1" t="s">
        <v>429</v>
      </c>
      <c r="J522" t="s">
        <v>454</v>
      </c>
      <c r="K522" s="20">
        <v>35.9</v>
      </c>
      <c r="L522">
        <f ca="1">TRUNC((TODAY()-tBase[[#This Row],[Data Nascimento]])/365)</f>
        <v>55</v>
      </c>
      <c r="M522" t="str">
        <f ca="1">HLOOKUP(tBase[[#This Row],[Idade]],$O$3:$R$4,2,TRUE)</f>
        <v>54-70</v>
      </c>
    </row>
    <row r="523" spans="2:13">
      <c r="B523" s="19">
        <v>55332904919</v>
      </c>
      <c r="C523" t="s">
        <v>319</v>
      </c>
      <c r="D523" t="s">
        <v>5</v>
      </c>
      <c r="E523" t="s">
        <v>8</v>
      </c>
      <c r="F523" t="s">
        <v>12</v>
      </c>
      <c r="G523" t="s">
        <v>425</v>
      </c>
      <c r="H523" s="1">
        <v>28441</v>
      </c>
      <c r="I523" s="1" t="s">
        <v>432</v>
      </c>
      <c r="J523" t="s">
        <v>456</v>
      </c>
      <c r="K523" s="20">
        <v>79.900000000000006</v>
      </c>
      <c r="L523">
        <f ca="1">TRUNC((TODAY()-tBase[[#This Row],[Data Nascimento]])/365)</f>
        <v>48</v>
      </c>
      <c r="M523" t="str">
        <f ca="1">HLOOKUP(tBase[[#This Row],[Idade]],$O$3:$R$4,2,TRUE)</f>
        <v>44 - 54</v>
      </c>
    </row>
    <row r="524" spans="2:13">
      <c r="B524" s="19">
        <v>55350189669</v>
      </c>
      <c r="C524" t="s">
        <v>323</v>
      </c>
      <c r="D524" t="s">
        <v>6</v>
      </c>
      <c r="E524" t="s">
        <v>7</v>
      </c>
      <c r="F524" t="s">
        <v>13</v>
      </c>
      <c r="G524" t="s">
        <v>424</v>
      </c>
      <c r="H524" s="1">
        <v>21023</v>
      </c>
      <c r="I524" s="1" t="s">
        <v>436</v>
      </c>
      <c r="J524" t="s">
        <v>453</v>
      </c>
      <c r="K524" s="20">
        <v>29.9</v>
      </c>
      <c r="L524">
        <f ca="1">TRUNC((TODAY()-tBase[[#This Row],[Data Nascimento]])/365)</f>
        <v>68</v>
      </c>
      <c r="M524" t="str">
        <f ca="1">HLOOKUP(tBase[[#This Row],[Idade]],$O$3:$R$4,2,TRUE)</f>
        <v>54-70</v>
      </c>
    </row>
    <row r="525" spans="2:13">
      <c r="B525" s="19">
        <v>55359798830</v>
      </c>
      <c r="C525" t="s">
        <v>401</v>
      </c>
      <c r="D525" t="s">
        <v>6</v>
      </c>
      <c r="E525" t="s">
        <v>417</v>
      </c>
      <c r="F525" t="s">
        <v>427</v>
      </c>
      <c r="G525" t="s">
        <v>425</v>
      </c>
      <c r="H525" s="1">
        <v>29770</v>
      </c>
      <c r="I525" s="1" t="s">
        <v>436</v>
      </c>
      <c r="J525" t="s">
        <v>454</v>
      </c>
      <c r="K525" s="20">
        <v>35.9</v>
      </c>
      <c r="L525">
        <f ca="1">TRUNC((TODAY()-tBase[[#This Row],[Data Nascimento]])/365)</f>
        <v>44</v>
      </c>
      <c r="M525" t="str">
        <f ca="1">HLOOKUP(tBase[[#This Row],[Idade]],$O$3:$R$4,2,TRUE)</f>
        <v>44 - 54</v>
      </c>
    </row>
    <row r="526" spans="2:13">
      <c r="B526" s="19">
        <v>55370247974</v>
      </c>
      <c r="C526" t="s">
        <v>276</v>
      </c>
      <c r="D526" t="s">
        <v>6</v>
      </c>
      <c r="E526" t="s">
        <v>7</v>
      </c>
      <c r="F526" t="s">
        <v>13</v>
      </c>
      <c r="G526" t="s">
        <v>426</v>
      </c>
      <c r="H526" s="1">
        <v>22051</v>
      </c>
      <c r="I526" s="1" t="s">
        <v>436</v>
      </c>
      <c r="J526" t="s">
        <v>455</v>
      </c>
      <c r="K526" s="20">
        <v>9.9</v>
      </c>
      <c r="L526">
        <f ca="1">TRUNC((TODAY()-tBase[[#This Row],[Data Nascimento]])/365)</f>
        <v>65</v>
      </c>
      <c r="M526" t="str">
        <f ca="1">HLOOKUP(tBase[[#This Row],[Idade]],$O$3:$R$4,2,TRUE)</f>
        <v>54-70</v>
      </c>
    </row>
    <row r="527" spans="2:13">
      <c r="B527" s="19">
        <v>55400526908</v>
      </c>
      <c r="C527" t="s">
        <v>68</v>
      </c>
      <c r="D527" t="s">
        <v>5</v>
      </c>
      <c r="E527" t="s">
        <v>416</v>
      </c>
      <c r="F527" t="s">
        <v>13</v>
      </c>
      <c r="G527" t="s">
        <v>425</v>
      </c>
      <c r="H527" s="1">
        <v>31753</v>
      </c>
      <c r="I527" s="1" t="s">
        <v>436</v>
      </c>
      <c r="J527" t="s">
        <v>455</v>
      </c>
      <c r="K527" s="20">
        <v>9.9</v>
      </c>
      <c r="L527">
        <f ca="1">TRUNC((TODAY()-tBase[[#This Row],[Data Nascimento]])/365)</f>
        <v>39</v>
      </c>
      <c r="M527" t="str">
        <f ca="1">HLOOKUP(tBase[[#This Row],[Idade]],$O$3:$R$4,2,TRUE)</f>
        <v>35 - 44</v>
      </c>
    </row>
    <row r="528" spans="2:13">
      <c r="B528" s="19">
        <v>55453919588</v>
      </c>
      <c r="C528" t="s">
        <v>388</v>
      </c>
      <c r="D528" t="s">
        <v>5</v>
      </c>
      <c r="E528" t="s">
        <v>416</v>
      </c>
      <c r="F528" t="s">
        <v>14</v>
      </c>
      <c r="G528" t="s">
        <v>425</v>
      </c>
      <c r="H528" s="1">
        <v>26625</v>
      </c>
      <c r="I528" s="1" t="s">
        <v>436</v>
      </c>
      <c r="J528" t="s">
        <v>453</v>
      </c>
      <c r="K528" s="20">
        <v>29.9</v>
      </c>
      <c r="L528">
        <f ca="1">TRUNC((TODAY()-tBase[[#This Row],[Data Nascimento]])/365)</f>
        <v>53</v>
      </c>
      <c r="M528" t="str">
        <f ca="1">HLOOKUP(tBase[[#This Row],[Idade]],$O$3:$R$4,2,TRUE)</f>
        <v>44 - 54</v>
      </c>
    </row>
    <row r="529" spans="2:13">
      <c r="B529" s="19">
        <v>55499979478</v>
      </c>
      <c r="C529" t="s">
        <v>59</v>
      </c>
      <c r="D529" t="s">
        <v>6</v>
      </c>
      <c r="E529" t="s">
        <v>8</v>
      </c>
      <c r="F529" t="s">
        <v>13</v>
      </c>
      <c r="G529" t="s">
        <v>426</v>
      </c>
      <c r="H529" s="1">
        <v>26185</v>
      </c>
      <c r="I529" s="1" t="s">
        <v>436</v>
      </c>
      <c r="J529" t="s">
        <v>453</v>
      </c>
      <c r="K529" s="20">
        <v>29.9</v>
      </c>
      <c r="L529">
        <f ca="1">TRUNC((TODAY()-tBase[[#This Row],[Data Nascimento]])/365)</f>
        <v>54</v>
      </c>
      <c r="M529" t="str">
        <f ca="1">HLOOKUP(tBase[[#This Row],[Idade]],$O$3:$R$4,2,TRUE)</f>
        <v>54-70</v>
      </c>
    </row>
    <row r="530" spans="2:13">
      <c r="B530" s="19">
        <v>55539019573</v>
      </c>
      <c r="C530" t="s">
        <v>150</v>
      </c>
      <c r="D530" t="s">
        <v>6</v>
      </c>
      <c r="E530" t="s">
        <v>7</v>
      </c>
      <c r="F530" t="s">
        <v>11</v>
      </c>
      <c r="G530" t="s">
        <v>426</v>
      </c>
      <c r="H530" s="1">
        <v>32419</v>
      </c>
      <c r="I530" s="1" t="s">
        <v>435</v>
      </c>
      <c r="J530" t="s">
        <v>456</v>
      </c>
      <c r="K530" s="20">
        <v>79.900000000000006</v>
      </c>
      <c r="L530">
        <f ca="1">TRUNC((TODAY()-tBase[[#This Row],[Data Nascimento]])/365)</f>
        <v>37</v>
      </c>
      <c r="M530" t="str">
        <f ca="1">HLOOKUP(tBase[[#This Row],[Idade]],$O$3:$R$4,2,TRUE)</f>
        <v>35 - 44</v>
      </c>
    </row>
    <row r="531" spans="2:13">
      <c r="B531" s="19">
        <v>55899436458</v>
      </c>
      <c r="C531" t="s">
        <v>122</v>
      </c>
      <c r="D531" t="s">
        <v>6</v>
      </c>
      <c r="E531" t="s">
        <v>418</v>
      </c>
      <c r="F531" t="s">
        <v>13</v>
      </c>
      <c r="G531" t="s">
        <v>424</v>
      </c>
      <c r="H531" s="1">
        <v>24409</v>
      </c>
      <c r="I531" s="1" t="s">
        <v>433</v>
      </c>
      <c r="J531" t="s">
        <v>456</v>
      </c>
      <c r="K531" s="20">
        <v>79.900000000000006</v>
      </c>
      <c r="L531">
        <f ca="1">TRUNC((TODAY()-tBase[[#This Row],[Data Nascimento]])/365)</f>
        <v>59</v>
      </c>
      <c r="M531" t="str">
        <f ca="1">HLOOKUP(tBase[[#This Row],[Idade]],$O$3:$R$4,2,TRUE)</f>
        <v>54-70</v>
      </c>
    </row>
    <row r="532" spans="2:13">
      <c r="B532" s="19">
        <v>56102669696</v>
      </c>
      <c r="C532" t="s">
        <v>251</v>
      </c>
      <c r="D532" t="s">
        <v>5</v>
      </c>
      <c r="E532" t="s">
        <v>416</v>
      </c>
      <c r="F532" t="s">
        <v>13</v>
      </c>
      <c r="G532" t="s">
        <v>424</v>
      </c>
      <c r="H532" s="1">
        <v>28523</v>
      </c>
      <c r="I532" s="1" t="s">
        <v>433</v>
      </c>
      <c r="J532" t="s">
        <v>453</v>
      </c>
      <c r="K532" s="20">
        <v>29.9</v>
      </c>
      <c r="L532">
        <f ca="1">TRUNC((TODAY()-tBase[[#This Row],[Data Nascimento]])/365)</f>
        <v>48</v>
      </c>
      <c r="M532" t="str">
        <f ca="1">HLOOKUP(tBase[[#This Row],[Idade]],$O$3:$R$4,2,TRUE)</f>
        <v>44 - 54</v>
      </c>
    </row>
    <row r="533" spans="2:13">
      <c r="B533" s="19">
        <v>56111428025</v>
      </c>
      <c r="C533" t="s">
        <v>247</v>
      </c>
      <c r="D533" t="s">
        <v>6</v>
      </c>
      <c r="E533" t="s">
        <v>7</v>
      </c>
      <c r="F533" t="s">
        <v>12</v>
      </c>
      <c r="G533" t="s">
        <v>425</v>
      </c>
      <c r="H533" s="1">
        <v>32545</v>
      </c>
      <c r="I533" s="1" t="s">
        <v>433</v>
      </c>
      <c r="J533" t="s">
        <v>456</v>
      </c>
      <c r="K533" s="20">
        <v>79.900000000000006</v>
      </c>
      <c r="L533">
        <f ca="1">TRUNC((TODAY()-tBase[[#This Row],[Data Nascimento]])/365)</f>
        <v>37</v>
      </c>
      <c r="M533" t="str">
        <f ca="1">HLOOKUP(tBase[[#This Row],[Idade]],$O$3:$R$4,2,TRUE)</f>
        <v>35 - 44</v>
      </c>
    </row>
    <row r="534" spans="2:13">
      <c r="B534" s="19">
        <v>56167280623</v>
      </c>
      <c r="C534" t="s">
        <v>336</v>
      </c>
      <c r="D534" t="s">
        <v>6</v>
      </c>
      <c r="E534" t="s">
        <v>418</v>
      </c>
      <c r="F534" t="s">
        <v>13</v>
      </c>
      <c r="G534" t="s">
        <v>426</v>
      </c>
      <c r="H534" s="1">
        <v>34079</v>
      </c>
      <c r="I534" s="1" t="s">
        <v>433</v>
      </c>
      <c r="J534" t="s">
        <v>454</v>
      </c>
      <c r="K534" s="20">
        <v>35.9</v>
      </c>
      <c r="L534">
        <f ca="1">TRUNC((TODAY()-tBase[[#This Row],[Data Nascimento]])/365)</f>
        <v>32</v>
      </c>
      <c r="M534" t="str">
        <f ca="1">HLOOKUP(tBase[[#This Row],[Idade]],$O$3:$R$4,2,TRUE)</f>
        <v>24-34</v>
      </c>
    </row>
    <row r="535" spans="2:13">
      <c r="B535" s="19">
        <v>56213600806</v>
      </c>
      <c r="C535" t="s">
        <v>250</v>
      </c>
      <c r="D535" t="s">
        <v>6</v>
      </c>
      <c r="E535" t="s">
        <v>7</v>
      </c>
      <c r="F535" t="s">
        <v>14</v>
      </c>
      <c r="G535" t="s">
        <v>426</v>
      </c>
      <c r="H535" s="1">
        <v>29235</v>
      </c>
      <c r="I535" s="1" t="s">
        <v>433</v>
      </c>
      <c r="J535" t="s">
        <v>453</v>
      </c>
      <c r="K535" s="20">
        <v>29.9</v>
      </c>
      <c r="L535">
        <f ca="1">TRUNC((TODAY()-tBase[[#This Row],[Data Nascimento]])/365)</f>
        <v>46</v>
      </c>
      <c r="M535" t="str">
        <f ca="1">HLOOKUP(tBase[[#This Row],[Idade]],$O$3:$R$4,2,TRUE)</f>
        <v>44 - 54</v>
      </c>
    </row>
    <row r="536" spans="2:13">
      <c r="B536" s="19">
        <v>56688702646</v>
      </c>
      <c r="C536" t="s">
        <v>30</v>
      </c>
      <c r="D536" t="s">
        <v>5</v>
      </c>
      <c r="E536" t="s">
        <v>418</v>
      </c>
      <c r="F536" t="s">
        <v>11</v>
      </c>
      <c r="G536" t="s">
        <v>426</v>
      </c>
      <c r="H536" s="1">
        <v>23383</v>
      </c>
      <c r="I536" s="1" t="s">
        <v>430</v>
      </c>
      <c r="J536" t="s">
        <v>456</v>
      </c>
      <c r="K536" s="20">
        <v>79.900000000000006</v>
      </c>
      <c r="L536">
        <f ca="1">TRUNC((TODAY()-tBase[[#This Row],[Data Nascimento]])/365)</f>
        <v>62</v>
      </c>
      <c r="M536" t="str">
        <f ca="1">HLOOKUP(tBase[[#This Row],[Idade]],$O$3:$R$4,2,TRUE)</f>
        <v>54-70</v>
      </c>
    </row>
    <row r="537" spans="2:13">
      <c r="B537" s="19">
        <v>56991862790</v>
      </c>
      <c r="C537" t="s">
        <v>308</v>
      </c>
      <c r="D537" t="s">
        <v>6</v>
      </c>
      <c r="E537" t="s">
        <v>416</v>
      </c>
      <c r="F537" t="s">
        <v>13</v>
      </c>
      <c r="G537" t="s">
        <v>425</v>
      </c>
      <c r="H537" s="1">
        <v>32088</v>
      </c>
      <c r="I537" s="1" t="s">
        <v>429</v>
      </c>
      <c r="J537" t="s">
        <v>455</v>
      </c>
      <c r="K537" s="20">
        <v>9.9</v>
      </c>
      <c r="L537">
        <f ca="1">TRUNC((TODAY()-tBase[[#This Row],[Data Nascimento]])/365)</f>
        <v>38</v>
      </c>
      <c r="M537" t="str">
        <f ca="1">HLOOKUP(tBase[[#This Row],[Idade]],$O$3:$R$4,2,TRUE)</f>
        <v>35 - 44</v>
      </c>
    </row>
    <row r="538" spans="2:13">
      <c r="B538" s="19">
        <v>57093446389</v>
      </c>
      <c r="C538" t="s">
        <v>351</v>
      </c>
      <c r="D538" t="s">
        <v>5</v>
      </c>
      <c r="E538" t="s">
        <v>417</v>
      </c>
      <c r="F538" t="s">
        <v>9</v>
      </c>
      <c r="G538" t="s">
        <v>424</v>
      </c>
      <c r="H538" s="1">
        <v>29291</v>
      </c>
      <c r="I538" s="1" t="s">
        <v>431</v>
      </c>
      <c r="J538" t="s">
        <v>455</v>
      </c>
      <c r="K538" s="20">
        <v>9.9</v>
      </c>
      <c r="L538">
        <f ca="1">TRUNC((TODAY()-tBase[[#This Row],[Data Nascimento]])/365)</f>
        <v>45</v>
      </c>
      <c r="M538" t="str">
        <f ca="1">HLOOKUP(tBase[[#This Row],[Idade]],$O$3:$R$4,2,TRUE)</f>
        <v>44 - 54</v>
      </c>
    </row>
    <row r="539" spans="2:13">
      <c r="B539" s="19">
        <v>57248670590</v>
      </c>
      <c r="C539" t="s">
        <v>163</v>
      </c>
      <c r="D539" t="s">
        <v>5</v>
      </c>
      <c r="E539" t="s">
        <v>7</v>
      </c>
      <c r="F539" t="s">
        <v>12</v>
      </c>
      <c r="G539" t="s">
        <v>424</v>
      </c>
      <c r="H539" s="1">
        <v>28258</v>
      </c>
      <c r="I539" s="1" t="s">
        <v>432</v>
      </c>
      <c r="J539" t="s">
        <v>455</v>
      </c>
      <c r="K539" s="20">
        <v>9.9</v>
      </c>
      <c r="L539">
        <f ca="1">TRUNC((TODAY()-tBase[[#This Row],[Data Nascimento]])/365)</f>
        <v>48</v>
      </c>
      <c r="M539" t="str">
        <f ca="1">HLOOKUP(tBase[[#This Row],[Idade]],$O$3:$R$4,2,TRUE)</f>
        <v>44 - 54</v>
      </c>
    </row>
    <row r="540" spans="2:13">
      <c r="B540" s="19">
        <v>57304884506</v>
      </c>
      <c r="C540" t="s">
        <v>33</v>
      </c>
      <c r="D540" t="s">
        <v>6</v>
      </c>
      <c r="E540" t="s">
        <v>7</v>
      </c>
      <c r="F540" t="s">
        <v>427</v>
      </c>
      <c r="G540" t="s">
        <v>424</v>
      </c>
      <c r="H540" s="1">
        <v>26161</v>
      </c>
      <c r="I540" s="1" t="s">
        <v>434</v>
      </c>
      <c r="J540" t="s">
        <v>455</v>
      </c>
      <c r="K540" s="20">
        <v>9.9</v>
      </c>
      <c r="L540">
        <f ca="1">TRUNC((TODAY()-tBase[[#This Row],[Data Nascimento]])/365)</f>
        <v>54</v>
      </c>
      <c r="M540" t="str">
        <f ca="1">HLOOKUP(tBase[[#This Row],[Idade]],$O$3:$R$4,2,TRUE)</f>
        <v>54-70</v>
      </c>
    </row>
    <row r="541" spans="2:13">
      <c r="B541" s="19">
        <v>57327520985</v>
      </c>
      <c r="C541" t="s">
        <v>21</v>
      </c>
      <c r="D541" t="s">
        <v>6</v>
      </c>
      <c r="E541" t="s">
        <v>417</v>
      </c>
      <c r="F541" t="s">
        <v>427</v>
      </c>
      <c r="G541" t="s">
        <v>425</v>
      </c>
      <c r="H541" s="1">
        <v>32451</v>
      </c>
      <c r="I541" s="1" t="s">
        <v>430</v>
      </c>
      <c r="J541" t="s">
        <v>455</v>
      </c>
      <c r="K541" s="20">
        <v>9.9</v>
      </c>
      <c r="L541">
        <f ca="1">TRUNC((TODAY()-tBase[[#This Row],[Data Nascimento]])/365)</f>
        <v>37</v>
      </c>
      <c r="M541" t="str">
        <f ca="1">HLOOKUP(tBase[[#This Row],[Idade]],$O$3:$R$4,2,TRUE)</f>
        <v>35 - 44</v>
      </c>
    </row>
    <row r="542" spans="2:13">
      <c r="B542" s="19">
        <v>57367066989</v>
      </c>
      <c r="C542" t="s">
        <v>330</v>
      </c>
      <c r="D542" t="s">
        <v>6</v>
      </c>
      <c r="E542" t="s">
        <v>7</v>
      </c>
      <c r="F542" t="s">
        <v>11</v>
      </c>
      <c r="G542" t="s">
        <v>426</v>
      </c>
      <c r="H542" s="1">
        <v>24235</v>
      </c>
      <c r="I542" s="1" t="s">
        <v>435</v>
      </c>
      <c r="J542" t="s">
        <v>456</v>
      </c>
      <c r="K542" s="20">
        <v>79.900000000000006</v>
      </c>
      <c r="L542">
        <f ca="1">TRUNC((TODAY()-tBase[[#This Row],[Data Nascimento]])/365)</f>
        <v>59</v>
      </c>
      <c r="M542" t="str">
        <f ca="1">HLOOKUP(tBase[[#This Row],[Idade]],$O$3:$R$4,2,TRUE)</f>
        <v>54-70</v>
      </c>
    </row>
    <row r="543" spans="2:13">
      <c r="B543" s="19">
        <v>57379301258</v>
      </c>
      <c r="C543" t="s">
        <v>289</v>
      </c>
      <c r="D543" t="s">
        <v>5</v>
      </c>
      <c r="E543" t="s">
        <v>8</v>
      </c>
      <c r="F543" t="s">
        <v>12</v>
      </c>
      <c r="G543" t="s">
        <v>424</v>
      </c>
      <c r="H543" s="1">
        <v>28635</v>
      </c>
      <c r="I543" s="1" t="s">
        <v>436</v>
      </c>
      <c r="J543" t="s">
        <v>454</v>
      </c>
      <c r="K543" s="20">
        <v>35.9</v>
      </c>
      <c r="L543">
        <f ca="1">TRUNC((TODAY()-tBase[[#This Row],[Data Nascimento]])/365)</f>
        <v>47</v>
      </c>
      <c r="M543" t="str">
        <f ca="1">HLOOKUP(tBase[[#This Row],[Idade]],$O$3:$R$4,2,TRUE)</f>
        <v>44 - 54</v>
      </c>
    </row>
    <row r="544" spans="2:13">
      <c r="B544" s="19">
        <v>57464065635</v>
      </c>
      <c r="C544" t="s">
        <v>76</v>
      </c>
      <c r="D544" t="s">
        <v>5</v>
      </c>
      <c r="E544" t="s">
        <v>7</v>
      </c>
      <c r="F544" t="s">
        <v>14</v>
      </c>
      <c r="G544" t="s">
        <v>426</v>
      </c>
      <c r="H544" s="1">
        <v>33591</v>
      </c>
      <c r="I544" s="1" t="s">
        <v>430</v>
      </c>
      <c r="J544" t="s">
        <v>453</v>
      </c>
      <c r="K544" s="20">
        <v>29.9</v>
      </c>
      <c r="L544">
        <f ca="1">TRUNC((TODAY()-tBase[[#This Row],[Data Nascimento]])/365)</f>
        <v>34</v>
      </c>
      <c r="M544" t="str">
        <f ca="1">HLOOKUP(tBase[[#This Row],[Idade]],$O$3:$R$4,2,TRUE)</f>
        <v>24-34</v>
      </c>
    </row>
    <row r="545" spans="2:13">
      <c r="B545" s="19">
        <v>57592799094</v>
      </c>
      <c r="C545" t="s">
        <v>381</v>
      </c>
      <c r="D545" t="s">
        <v>6</v>
      </c>
      <c r="E545" t="s">
        <v>417</v>
      </c>
      <c r="F545" t="s">
        <v>427</v>
      </c>
      <c r="G545" t="s">
        <v>425</v>
      </c>
      <c r="H545" s="1">
        <v>28813</v>
      </c>
      <c r="I545" s="1" t="s">
        <v>435</v>
      </c>
      <c r="J545" t="s">
        <v>455</v>
      </c>
      <c r="K545" s="20">
        <v>9.9</v>
      </c>
      <c r="L545">
        <f ca="1">TRUNC((TODAY()-tBase[[#This Row],[Data Nascimento]])/365)</f>
        <v>47</v>
      </c>
      <c r="M545" t="str">
        <f ca="1">HLOOKUP(tBase[[#This Row],[Idade]],$O$3:$R$4,2,TRUE)</f>
        <v>44 - 54</v>
      </c>
    </row>
    <row r="546" spans="2:13">
      <c r="B546" s="19">
        <v>57638196563</v>
      </c>
      <c r="C546" t="s">
        <v>62</v>
      </c>
      <c r="D546" t="s">
        <v>5</v>
      </c>
      <c r="E546" t="s">
        <v>8</v>
      </c>
      <c r="F546" t="s">
        <v>13</v>
      </c>
      <c r="G546" t="s">
        <v>424</v>
      </c>
      <c r="H546" s="1">
        <v>28135</v>
      </c>
      <c r="I546" s="1" t="s">
        <v>436</v>
      </c>
      <c r="J546" t="s">
        <v>455</v>
      </c>
      <c r="K546" s="20">
        <v>9.9</v>
      </c>
      <c r="L546">
        <f ca="1">TRUNC((TODAY()-tBase[[#This Row],[Data Nascimento]])/365)</f>
        <v>49</v>
      </c>
      <c r="M546" t="str">
        <f ca="1">HLOOKUP(tBase[[#This Row],[Idade]],$O$3:$R$4,2,TRUE)</f>
        <v>44 - 54</v>
      </c>
    </row>
    <row r="547" spans="2:13">
      <c r="B547" s="19">
        <v>57875961749</v>
      </c>
      <c r="C547" t="s">
        <v>288</v>
      </c>
      <c r="D547" t="s">
        <v>6</v>
      </c>
      <c r="E547" t="s">
        <v>416</v>
      </c>
      <c r="F547" t="s">
        <v>13</v>
      </c>
      <c r="G547" t="s">
        <v>425</v>
      </c>
      <c r="H547" s="1">
        <v>27083</v>
      </c>
      <c r="I547" s="1" t="s">
        <v>433</v>
      </c>
      <c r="J547" t="s">
        <v>454</v>
      </c>
      <c r="K547" s="20">
        <v>35.9</v>
      </c>
      <c r="L547">
        <f ca="1">TRUNC((TODAY()-tBase[[#This Row],[Data Nascimento]])/365)</f>
        <v>51</v>
      </c>
      <c r="M547" t="str">
        <f ca="1">HLOOKUP(tBase[[#This Row],[Idade]],$O$3:$R$4,2,TRUE)</f>
        <v>44 - 54</v>
      </c>
    </row>
    <row r="548" spans="2:13">
      <c r="B548" s="19">
        <v>57970733283</v>
      </c>
      <c r="C548" t="s">
        <v>27</v>
      </c>
      <c r="D548" t="s">
        <v>6</v>
      </c>
      <c r="E548" t="s">
        <v>7</v>
      </c>
      <c r="F548" t="s">
        <v>9</v>
      </c>
      <c r="G548" t="s">
        <v>425</v>
      </c>
      <c r="H548" s="1">
        <v>24061</v>
      </c>
      <c r="I548" s="1" t="s">
        <v>433</v>
      </c>
      <c r="J548" t="s">
        <v>455</v>
      </c>
      <c r="K548" s="20">
        <v>9.9</v>
      </c>
      <c r="L548">
        <f ca="1">TRUNC((TODAY()-tBase[[#This Row],[Data Nascimento]])/365)</f>
        <v>60</v>
      </c>
      <c r="M548" t="str">
        <f ca="1">HLOOKUP(tBase[[#This Row],[Idade]],$O$3:$R$4,2,TRUE)</f>
        <v>54-70</v>
      </c>
    </row>
    <row r="549" spans="2:13">
      <c r="B549" s="19">
        <v>58079835440</v>
      </c>
      <c r="C549" t="s">
        <v>356</v>
      </c>
      <c r="D549" t="s">
        <v>6</v>
      </c>
      <c r="E549" t="s">
        <v>7</v>
      </c>
      <c r="F549" t="s">
        <v>13</v>
      </c>
      <c r="G549" t="s">
        <v>426</v>
      </c>
      <c r="H549" s="1">
        <v>24209</v>
      </c>
      <c r="I549" s="1" t="s">
        <v>433</v>
      </c>
      <c r="J549" t="s">
        <v>455</v>
      </c>
      <c r="K549" s="20">
        <v>9.9</v>
      </c>
      <c r="L549">
        <f ca="1">TRUNC((TODAY()-tBase[[#This Row],[Data Nascimento]])/365)</f>
        <v>59</v>
      </c>
      <c r="M549" t="str">
        <f ca="1">HLOOKUP(tBase[[#This Row],[Idade]],$O$3:$R$4,2,TRUE)</f>
        <v>54-70</v>
      </c>
    </row>
    <row r="550" spans="2:13">
      <c r="B550" s="19">
        <v>58289445241</v>
      </c>
      <c r="C550" t="s">
        <v>409</v>
      </c>
      <c r="D550" t="s">
        <v>6</v>
      </c>
      <c r="E550" t="s">
        <v>8</v>
      </c>
      <c r="F550" t="s">
        <v>12</v>
      </c>
      <c r="G550" t="s">
        <v>424</v>
      </c>
      <c r="H550" s="1">
        <v>32349</v>
      </c>
      <c r="I550" s="1" t="s">
        <v>433</v>
      </c>
      <c r="J550" t="s">
        <v>454</v>
      </c>
      <c r="K550" s="20">
        <v>35.9</v>
      </c>
      <c r="L550">
        <f ca="1">TRUNC((TODAY()-tBase[[#This Row],[Data Nascimento]])/365)</f>
        <v>37</v>
      </c>
      <c r="M550" t="str">
        <f ca="1">HLOOKUP(tBase[[#This Row],[Idade]],$O$3:$R$4,2,TRUE)</f>
        <v>35 - 44</v>
      </c>
    </row>
    <row r="551" spans="2:13">
      <c r="B551" s="19">
        <v>58346333965</v>
      </c>
      <c r="C551" t="s">
        <v>217</v>
      </c>
      <c r="D551" t="s">
        <v>5</v>
      </c>
      <c r="E551" t="s">
        <v>7</v>
      </c>
      <c r="F551" t="s">
        <v>12</v>
      </c>
      <c r="G551" t="s">
        <v>425</v>
      </c>
      <c r="H551" s="1">
        <v>25399</v>
      </c>
      <c r="I551" s="1" t="s">
        <v>433</v>
      </c>
      <c r="J551" t="s">
        <v>454</v>
      </c>
      <c r="K551" s="20">
        <v>35.9</v>
      </c>
      <c r="L551">
        <f ca="1">TRUNC((TODAY()-tBase[[#This Row],[Data Nascimento]])/365)</f>
        <v>56</v>
      </c>
      <c r="M551" t="str">
        <f ca="1">HLOOKUP(tBase[[#This Row],[Idade]],$O$3:$R$4,2,TRUE)</f>
        <v>54-70</v>
      </c>
    </row>
    <row r="552" spans="2:13">
      <c r="B552" s="19">
        <v>58366156412</v>
      </c>
      <c r="C552" t="s">
        <v>142</v>
      </c>
      <c r="D552" t="s">
        <v>6</v>
      </c>
      <c r="E552" t="s">
        <v>8</v>
      </c>
      <c r="F552" t="s">
        <v>427</v>
      </c>
      <c r="G552" t="s">
        <v>424</v>
      </c>
      <c r="H552" s="1">
        <v>32079</v>
      </c>
      <c r="I552" s="1" t="s">
        <v>433</v>
      </c>
      <c r="J552" t="s">
        <v>453</v>
      </c>
      <c r="K552" s="20">
        <v>29.9</v>
      </c>
      <c r="L552">
        <f ca="1">TRUNC((TODAY()-tBase[[#This Row],[Data Nascimento]])/365)</f>
        <v>38</v>
      </c>
      <c r="M552" t="str">
        <f ca="1">HLOOKUP(tBase[[#This Row],[Idade]],$O$3:$R$4,2,TRUE)</f>
        <v>35 - 44</v>
      </c>
    </row>
    <row r="553" spans="2:13">
      <c r="B553" s="19">
        <v>58438486574</v>
      </c>
      <c r="C553" t="s">
        <v>376</v>
      </c>
      <c r="D553" t="s">
        <v>5</v>
      </c>
      <c r="E553" t="s">
        <v>7</v>
      </c>
      <c r="F553" t="s">
        <v>14</v>
      </c>
      <c r="G553" t="s">
        <v>426</v>
      </c>
      <c r="H553" s="1">
        <v>30918</v>
      </c>
      <c r="I553" s="1" t="s">
        <v>433</v>
      </c>
      <c r="J553" t="s">
        <v>455</v>
      </c>
      <c r="K553" s="20">
        <v>9.9</v>
      </c>
      <c r="L553">
        <f ca="1">TRUNC((TODAY()-tBase[[#This Row],[Data Nascimento]])/365)</f>
        <v>41</v>
      </c>
      <c r="M553" t="str">
        <f ca="1">HLOOKUP(tBase[[#This Row],[Idade]],$O$3:$R$4,2,TRUE)</f>
        <v>35 - 44</v>
      </c>
    </row>
    <row r="554" spans="2:13">
      <c r="B554" s="19">
        <v>58546694716</v>
      </c>
      <c r="C554" t="s">
        <v>149</v>
      </c>
      <c r="D554" t="s">
        <v>6</v>
      </c>
      <c r="E554" t="s">
        <v>418</v>
      </c>
      <c r="F554" t="s">
        <v>427</v>
      </c>
      <c r="G554" t="s">
        <v>426</v>
      </c>
      <c r="H554" s="1">
        <v>29613</v>
      </c>
      <c r="I554" s="1" t="s">
        <v>433</v>
      </c>
      <c r="J554" t="s">
        <v>454</v>
      </c>
      <c r="K554" s="20">
        <v>35.9</v>
      </c>
      <c r="L554">
        <f ca="1">TRUNC((TODAY()-tBase[[#This Row],[Data Nascimento]])/365)</f>
        <v>45</v>
      </c>
      <c r="M554" t="str">
        <f ca="1">HLOOKUP(tBase[[#This Row],[Idade]],$O$3:$R$4,2,TRUE)</f>
        <v>44 - 54</v>
      </c>
    </row>
    <row r="555" spans="2:13">
      <c r="B555" s="19">
        <v>58668298672</v>
      </c>
      <c r="C555" t="s">
        <v>170</v>
      </c>
      <c r="D555" t="s">
        <v>6</v>
      </c>
      <c r="E555" t="s">
        <v>7</v>
      </c>
      <c r="F555" t="s">
        <v>13</v>
      </c>
      <c r="G555" t="s">
        <v>426</v>
      </c>
      <c r="H555" s="1">
        <v>34171</v>
      </c>
      <c r="I555" s="1" t="s">
        <v>433</v>
      </c>
      <c r="J555" t="s">
        <v>456</v>
      </c>
      <c r="K555" s="20">
        <v>79.900000000000006</v>
      </c>
      <c r="L555">
        <f ca="1">TRUNC((TODAY()-tBase[[#This Row],[Data Nascimento]])/365)</f>
        <v>32</v>
      </c>
      <c r="M555" t="str">
        <f ca="1">HLOOKUP(tBase[[#This Row],[Idade]],$O$3:$R$4,2,TRUE)</f>
        <v>24-34</v>
      </c>
    </row>
    <row r="556" spans="2:13">
      <c r="B556" s="19">
        <v>58747813272</v>
      </c>
      <c r="C556" t="s">
        <v>77</v>
      </c>
      <c r="D556" t="s">
        <v>6</v>
      </c>
      <c r="E556" t="s">
        <v>7</v>
      </c>
      <c r="F556" t="s">
        <v>427</v>
      </c>
      <c r="G556" t="s">
        <v>425</v>
      </c>
      <c r="H556" s="1">
        <v>28992</v>
      </c>
      <c r="I556" s="1" t="s">
        <v>429</v>
      </c>
      <c r="J556" t="s">
        <v>454</v>
      </c>
      <c r="K556" s="20">
        <v>35.9</v>
      </c>
      <c r="L556">
        <f ca="1">TRUNC((TODAY()-tBase[[#This Row],[Data Nascimento]])/365)</f>
        <v>46</v>
      </c>
      <c r="M556" t="str">
        <f ca="1">HLOOKUP(tBase[[#This Row],[Idade]],$O$3:$R$4,2,TRUE)</f>
        <v>44 - 54</v>
      </c>
    </row>
    <row r="557" spans="2:13">
      <c r="B557" s="19">
        <v>58903912727</v>
      </c>
      <c r="C557" t="s">
        <v>135</v>
      </c>
      <c r="D557" t="s">
        <v>6</v>
      </c>
      <c r="E557" t="s">
        <v>417</v>
      </c>
      <c r="F557" t="s">
        <v>9</v>
      </c>
      <c r="G557" t="s">
        <v>425</v>
      </c>
      <c r="H557" s="1">
        <v>26976</v>
      </c>
      <c r="I557" s="1" t="s">
        <v>432</v>
      </c>
      <c r="J557" t="s">
        <v>453</v>
      </c>
      <c r="K557" s="20">
        <v>29.9</v>
      </c>
      <c r="L557">
        <f ca="1">TRUNC((TODAY()-tBase[[#This Row],[Data Nascimento]])/365)</f>
        <v>52</v>
      </c>
      <c r="M557" t="str">
        <f ca="1">HLOOKUP(tBase[[#This Row],[Idade]],$O$3:$R$4,2,TRUE)</f>
        <v>44 - 54</v>
      </c>
    </row>
    <row r="558" spans="2:13">
      <c r="B558" s="19">
        <v>58944256865</v>
      </c>
      <c r="C558" t="s">
        <v>92</v>
      </c>
      <c r="D558" t="s">
        <v>6</v>
      </c>
      <c r="E558" t="s">
        <v>8</v>
      </c>
      <c r="F558" t="s">
        <v>13</v>
      </c>
      <c r="G558" t="s">
        <v>425</v>
      </c>
      <c r="H558" s="1">
        <v>36396</v>
      </c>
      <c r="I558" s="1" t="s">
        <v>436</v>
      </c>
      <c r="J558" t="s">
        <v>455</v>
      </c>
      <c r="K558" s="20">
        <v>9.9</v>
      </c>
      <c r="L558">
        <f ca="1">TRUNC((TODAY()-tBase[[#This Row],[Data Nascimento]])/365)</f>
        <v>26</v>
      </c>
      <c r="M558" t="str">
        <f ca="1">HLOOKUP(tBase[[#This Row],[Idade]],$O$3:$R$4,2,TRUE)</f>
        <v>24-34</v>
      </c>
    </row>
    <row r="559" spans="2:13">
      <c r="B559" s="19">
        <v>59003331678</v>
      </c>
      <c r="C559" t="s">
        <v>63</v>
      </c>
      <c r="D559" t="s">
        <v>6</v>
      </c>
      <c r="E559" t="s">
        <v>7</v>
      </c>
      <c r="F559" t="s">
        <v>9</v>
      </c>
      <c r="G559" t="s">
        <v>424</v>
      </c>
      <c r="H559" s="1">
        <v>32152</v>
      </c>
      <c r="I559" s="1" t="s">
        <v>436</v>
      </c>
      <c r="J559" t="s">
        <v>455</v>
      </c>
      <c r="K559" s="20">
        <v>9.9</v>
      </c>
      <c r="L559">
        <f ca="1">TRUNC((TODAY()-tBase[[#This Row],[Data Nascimento]])/365)</f>
        <v>38</v>
      </c>
      <c r="M559" t="str">
        <f ca="1">HLOOKUP(tBase[[#This Row],[Idade]],$O$3:$R$4,2,TRUE)</f>
        <v>35 - 44</v>
      </c>
    </row>
    <row r="560" spans="2:13">
      <c r="B560" s="19">
        <v>59016888278</v>
      </c>
      <c r="C560" t="s">
        <v>86</v>
      </c>
      <c r="D560" t="s">
        <v>5</v>
      </c>
      <c r="E560" t="s">
        <v>417</v>
      </c>
      <c r="F560" t="s">
        <v>13</v>
      </c>
      <c r="G560" t="s">
        <v>426</v>
      </c>
      <c r="H560" s="1">
        <v>31126</v>
      </c>
      <c r="I560" s="1" t="s">
        <v>436</v>
      </c>
      <c r="J560" t="s">
        <v>455</v>
      </c>
      <c r="K560" s="20">
        <v>9.9</v>
      </c>
      <c r="L560">
        <f ca="1">TRUNC((TODAY()-tBase[[#This Row],[Data Nascimento]])/365)</f>
        <v>40</v>
      </c>
      <c r="M560" t="str">
        <f ca="1">HLOOKUP(tBase[[#This Row],[Idade]],$O$3:$R$4,2,TRUE)</f>
        <v>35 - 44</v>
      </c>
    </row>
    <row r="561" spans="2:13">
      <c r="B561" s="19">
        <v>59017936332</v>
      </c>
      <c r="C561" t="s">
        <v>293</v>
      </c>
      <c r="D561" t="s">
        <v>6</v>
      </c>
      <c r="E561" t="s">
        <v>7</v>
      </c>
      <c r="F561" t="s">
        <v>427</v>
      </c>
      <c r="G561" t="s">
        <v>424</v>
      </c>
      <c r="H561" s="1">
        <v>27622</v>
      </c>
      <c r="I561" s="1" t="s">
        <v>436</v>
      </c>
      <c r="J561" t="s">
        <v>454</v>
      </c>
      <c r="K561" s="20">
        <v>35.9</v>
      </c>
      <c r="L561">
        <f ca="1">TRUNC((TODAY()-tBase[[#This Row],[Data Nascimento]])/365)</f>
        <v>50</v>
      </c>
      <c r="M561" t="str">
        <f ca="1">HLOOKUP(tBase[[#This Row],[Idade]],$O$3:$R$4,2,TRUE)</f>
        <v>44 - 54</v>
      </c>
    </row>
    <row r="562" spans="2:13">
      <c r="B562" s="19">
        <v>59510083298</v>
      </c>
      <c r="C562" t="s">
        <v>35</v>
      </c>
      <c r="D562" t="s">
        <v>6</v>
      </c>
      <c r="E562" t="s">
        <v>417</v>
      </c>
      <c r="F562" t="s">
        <v>13</v>
      </c>
      <c r="G562" t="s">
        <v>425</v>
      </c>
      <c r="H562" s="1">
        <v>22517</v>
      </c>
      <c r="I562" s="1" t="s">
        <v>436</v>
      </c>
      <c r="J562" t="s">
        <v>453</v>
      </c>
      <c r="K562" s="20">
        <v>29.9</v>
      </c>
      <c r="L562">
        <f ca="1">TRUNC((TODAY()-tBase[[#This Row],[Data Nascimento]])/365)</f>
        <v>64</v>
      </c>
      <c r="M562" t="str">
        <f ca="1">HLOOKUP(tBase[[#This Row],[Idade]],$O$3:$R$4,2,TRUE)</f>
        <v>54-70</v>
      </c>
    </row>
    <row r="563" spans="2:13">
      <c r="B563" s="19">
        <v>59616857954</v>
      </c>
      <c r="C563" t="s">
        <v>267</v>
      </c>
      <c r="D563" t="s">
        <v>5</v>
      </c>
      <c r="E563" t="s">
        <v>7</v>
      </c>
      <c r="F563" t="s">
        <v>9</v>
      </c>
      <c r="G563" t="s">
        <v>425</v>
      </c>
      <c r="H563" s="1">
        <v>28482</v>
      </c>
      <c r="I563" s="1" t="s">
        <v>436</v>
      </c>
      <c r="J563" t="s">
        <v>455</v>
      </c>
      <c r="K563" s="20">
        <v>9.9</v>
      </c>
      <c r="L563">
        <f ca="1">TRUNC((TODAY()-tBase[[#This Row],[Data Nascimento]])/365)</f>
        <v>48</v>
      </c>
      <c r="M563" t="str">
        <f ca="1">HLOOKUP(tBase[[#This Row],[Idade]],$O$3:$R$4,2,TRUE)</f>
        <v>44 - 54</v>
      </c>
    </row>
    <row r="564" spans="2:13">
      <c r="B564" s="19">
        <v>59825274523</v>
      </c>
      <c r="C564" t="s">
        <v>91</v>
      </c>
      <c r="D564" t="s">
        <v>6</v>
      </c>
      <c r="E564" t="s">
        <v>416</v>
      </c>
      <c r="F564" t="s">
        <v>12</v>
      </c>
      <c r="G564" t="s">
        <v>424</v>
      </c>
      <c r="H564" s="1">
        <v>29914</v>
      </c>
      <c r="I564" s="1" t="s">
        <v>435</v>
      </c>
      <c r="J564" t="s">
        <v>455</v>
      </c>
      <c r="K564" s="20">
        <v>9.9</v>
      </c>
      <c r="L564">
        <f ca="1">TRUNC((TODAY()-tBase[[#This Row],[Data Nascimento]])/365)</f>
        <v>44</v>
      </c>
      <c r="M564" t="str">
        <f ca="1">HLOOKUP(tBase[[#This Row],[Idade]],$O$3:$R$4,2,TRUE)</f>
        <v>44 - 54</v>
      </c>
    </row>
    <row r="565" spans="2:13">
      <c r="B565" s="19">
        <v>59847163476</v>
      </c>
      <c r="C565" t="s">
        <v>270</v>
      </c>
      <c r="D565" t="s">
        <v>6</v>
      </c>
      <c r="E565" t="s">
        <v>7</v>
      </c>
      <c r="F565" t="s">
        <v>11</v>
      </c>
      <c r="G565" t="s">
        <v>426</v>
      </c>
      <c r="H565" s="1">
        <v>28138</v>
      </c>
      <c r="I565" s="1" t="s">
        <v>433</v>
      </c>
      <c r="J565" t="s">
        <v>456</v>
      </c>
      <c r="K565" s="20">
        <v>79.900000000000006</v>
      </c>
      <c r="L565">
        <f ca="1">TRUNC((TODAY()-tBase[[#This Row],[Data Nascimento]])/365)</f>
        <v>49</v>
      </c>
      <c r="M565" t="str">
        <f ca="1">HLOOKUP(tBase[[#This Row],[Idade]],$O$3:$R$4,2,TRUE)</f>
        <v>44 - 54</v>
      </c>
    </row>
    <row r="566" spans="2:13">
      <c r="B566" s="19">
        <v>60015297037</v>
      </c>
      <c r="C566" t="s">
        <v>128</v>
      </c>
      <c r="D566" t="s">
        <v>6</v>
      </c>
      <c r="E566" t="s">
        <v>416</v>
      </c>
      <c r="F566" t="s">
        <v>13</v>
      </c>
      <c r="G566" t="s">
        <v>425</v>
      </c>
      <c r="H566" s="1">
        <v>34267</v>
      </c>
      <c r="I566" s="1" t="s">
        <v>433</v>
      </c>
      <c r="J566" t="s">
        <v>453</v>
      </c>
      <c r="K566" s="20">
        <v>29.9</v>
      </c>
      <c r="L566">
        <f ca="1">TRUNC((TODAY()-tBase[[#This Row],[Data Nascimento]])/365)</f>
        <v>32</v>
      </c>
      <c r="M566" t="str">
        <f ca="1">HLOOKUP(tBase[[#This Row],[Idade]],$O$3:$R$4,2,TRUE)</f>
        <v>24-34</v>
      </c>
    </row>
    <row r="567" spans="2:13">
      <c r="B567" s="19">
        <v>60024137404</v>
      </c>
      <c r="C567" t="s">
        <v>374</v>
      </c>
      <c r="D567" t="s">
        <v>5</v>
      </c>
      <c r="E567" t="s">
        <v>417</v>
      </c>
      <c r="F567" t="s">
        <v>13</v>
      </c>
      <c r="G567" t="s">
        <v>425</v>
      </c>
      <c r="H567" s="1">
        <v>25915</v>
      </c>
      <c r="I567" s="1" t="s">
        <v>433</v>
      </c>
      <c r="J567" t="s">
        <v>455</v>
      </c>
      <c r="K567" s="20">
        <v>9.9</v>
      </c>
      <c r="L567">
        <f ca="1">TRUNC((TODAY()-tBase[[#This Row],[Data Nascimento]])/365)</f>
        <v>55</v>
      </c>
      <c r="M567" t="str">
        <f ca="1">HLOOKUP(tBase[[#This Row],[Idade]],$O$3:$R$4,2,TRUE)</f>
        <v>54-70</v>
      </c>
    </row>
    <row r="568" spans="2:13">
      <c r="B568" s="19">
        <v>60051549640</v>
      </c>
      <c r="C568" t="s">
        <v>70</v>
      </c>
      <c r="D568" t="s">
        <v>5</v>
      </c>
      <c r="E568" t="s">
        <v>7</v>
      </c>
      <c r="F568" t="s">
        <v>427</v>
      </c>
      <c r="G568" t="s">
        <v>426</v>
      </c>
      <c r="H568" s="1">
        <v>24306</v>
      </c>
      <c r="I568" s="1" t="s">
        <v>433</v>
      </c>
      <c r="J568" t="s">
        <v>453</v>
      </c>
      <c r="K568" s="20">
        <v>29.9</v>
      </c>
      <c r="L568">
        <f ca="1">TRUNC((TODAY()-tBase[[#This Row],[Data Nascimento]])/365)</f>
        <v>59</v>
      </c>
      <c r="M568" t="str">
        <f ca="1">HLOOKUP(tBase[[#This Row],[Idade]],$O$3:$R$4,2,TRUE)</f>
        <v>54-70</v>
      </c>
    </row>
    <row r="569" spans="2:13">
      <c r="B569" s="19">
        <v>60149753821</v>
      </c>
      <c r="C569" t="s">
        <v>129</v>
      </c>
      <c r="D569" t="s">
        <v>6</v>
      </c>
      <c r="E569" t="s">
        <v>8</v>
      </c>
      <c r="F569" t="s">
        <v>427</v>
      </c>
      <c r="G569" t="s">
        <v>424</v>
      </c>
      <c r="H569" s="1">
        <v>27416</v>
      </c>
      <c r="I569" s="1" t="s">
        <v>433</v>
      </c>
      <c r="J569" t="s">
        <v>455</v>
      </c>
      <c r="K569" s="20">
        <v>9.9</v>
      </c>
      <c r="L569">
        <f ca="1">TRUNC((TODAY()-tBase[[#This Row],[Data Nascimento]])/365)</f>
        <v>51</v>
      </c>
      <c r="M569" t="str">
        <f ca="1">HLOOKUP(tBase[[#This Row],[Idade]],$O$3:$R$4,2,TRUE)</f>
        <v>44 - 54</v>
      </c>
    </row>
    <row r="570" spans="2:13">
      <c r="B570" s="19">
        <v>60183693472</v>
      </c>
      <c r="C570" t="s">
        <v>151</v>
      </c>
      <c r="D570" t="s">
        <v>6</v>
      </c>
      <c r="E570" t="s">
        <v>417</v>
      </c>
      <c r="F570" t="s">
        <v>12</v>
      </c>
      <c r="G570" t="s">
        <v>424</v>
      </c>
      <c r="H570" s="1">
        <v>30797</v>
      </c>
      <c r="I570" s="1" t="s">
        <v>430</v>
      </c>
      <c r="J570" t="s">
        <v>456</v>
      </c>
      <c r="K570" s="20">
        <v>79.900000000000006</v>
      </c>
      <c r="L570">
        <f ca="1">TRUNC((TODAY()-tBase[[#This Row],[Data Nascimento]])/365)</f>
        <v>41</v>
      </c>
      <c r="M570" t="str">
        <f ca="1">HLOOKUP(tBase[[#This Row],[Idade]],$O$3:$R$4,2,TRUE)</f>
        <v>35 - 44</v>
      </c>
    </row>
    <row r="571" spans="2:13">
      <c r="B571" s="19">
        <v>60235696152</v>
      </c>
      <c r="C571" t="s">
        <v>171</v>
      </c>
      <c r="D571" t="s">
        <v>6</v>
      </c>
      <c r="E571" t="s">
        <v>416</v>
      </c>
      <c r="F571" t="s">
        <v>9</v>
      </c>
      <c r="G571" t="s">
        <v>424</v>
      </c>
      <c r="H571" s="1">
        <v>24154</v>
      </c>
      <c r="I571" s="1" t="s">
        <v>429</v>
      </c>
      <c r="J571" t="s">
        <v>455</v>
      </c>
      <c r="K571" s="20">
        <v>9.9</v>
      </c>
      <c r="L571">
        <f ca="1">TRUNC((TODAY()-tBase[[#This Row],[Data Nascimento]])/365)</f>
        <v>59</v>
      </c>
      <c r="M571" t="str">
        <f ca="1">HLOOKUP(tBase[[#This Row],[Idade]],$O$3:$R$4,2,TRUE)</f>
        <v>54-70</v>
      </c>
    </row>
    <row r="572" spans="2:13">
      <c r="B572" s="19">
        <v>60525979542</v>
      </c>
      <c r="C572" t="s">
        <v>104</v>
      </c>
      <c r="D572" t="s">
        <v>6</v>
      </c>
      <c r="E572" t="s">
        <v>417</v>
      </c>
      <c r="F572" t="s">
        <v>13</v>
      </c>
      <c r="G572" t="s">
        <v>425</v>
      </c>
      <c r="H572" s="1">
        <v>34862</v>
      </c>
      <c r="I572" s="1" t="s">
        <v>431</v>
      </c>
      <c r="J572" t="s">
        <v>453</v>
      </c>
      <c r="K572" s="20">
        <v>29.9</v>
      </c>
      <c r="L572">
        <f ca="1">TRUNC((TODAY()-tBase[[#This Row],[Data Nascimento]])/365)</f>
        <v>30</v>
      </c>
      <c r="M572" t="str">
        <f ca="1">HLOOKUP(tBase[[#This Row],[Idade]],$O$3:$R$4,2,TRUE)</f>
        <v>24-34</v>
      </c>
    </row>
    <row r="573" spans="2:13">
      <c r="B573" s="19">
        <v>60989752820</v>
      </c>
      <c r="C573" t="s">
        <v>300</v>
      </c>
      <c r="D573" t="s">
        <v>6</v>
      </c>
      <c r="E573" t="s">
        <v>7</v>
      </c>
      <c r="F573" t="s">
        <v>13</v>
      </c>
      <c r="G573" t="s">
        <v>425</v>
      </c>
      <c r="H573" s="1">
        <v>33328</v>
      </c>
      <c r="I573" s="1" t="s">
        <v>432</v>
      </c>
      <c r="J573" t="s">
        <v>455</v>
      </c>
      <c r="K573" s="20">
        <v>9.9</v>
      </c>
      <c r="L573">
        <f ca="1">TRUNC((TODAY()-tBase[[#This Row],[Data Nascimento]])/365)</f>
        <v>34</v>
      </c>
      <c r="M573" t="str">
        <f ca="1">HLOOKUP(tBase[[#This Row],[Idade]],$O$3:$R$4,2,TRUE)</f>
        <v>24-34</v>
      </c>
    </row>
    <row r="574" spans="2:13">
      <c r="B574" s="19">
        <v>61010920820</v>
      </c>
      <c r="C574" t="s">
        <v>207</v>
      </c>
      <c r="D574" t="s">
        <v>6</v>
      </c>
      <c r="E574" t="s">
        <v>7</v>
      </c>
      <c r="F574" t="s">
        <v>9</v>
      </c>
      <c r="G574" t="s">
        <v>425</v>
      </c>
      <c r="H574" s="1">
        <v>28705</v>
      </c>
      <c r="I574" s="1" t="s">
        <v>434</v>
      </c>
      <c r="J574" t="s">
        <v>455</v>
      </c>
      <c r="K574" s="20">
        <v>9.9</v>
      </c>
      <c r="L574">
        <f ca="1">TRUNC((TODAY()-tBase[[#This Row],[Data Nascimento]])/365)</f>
        <v>47</v>
      </c>
      <c r="M574" t="str">
        <f ca="1">HLOOKUP(tBase[[#This Row],[Idade]],$O$3:$R$4,2,TRUE)</f>
        <v>44 - 54</v>
      </c>
    </row>
    <row r="575" spans="2:13">
      <c r="B575" s="19">
        <v>61123160920</v>
      </c>
      <c r="C575" t="s">
        <v>377</v>
      </c>
      <c r="D575" t="s">
        <v>6</v>
      </c>
      <c r="E575" t="s">
        <v>7</v>
      </c>
      <c r="F575" t="s">
        <v>427</v>
      </c>
      <c r="G575" t="s">
        <v>425</v>
      </c>
      <c r="H575" s="1">
        <v>31092</v>
      </c>
      <c r="I575" s="1" t="s">
        <v>430</v>
      </c>
      <c r="J575" t="s">
        <v>454</v>
      </c>
      <c r="K575" s="20">
        <v>35.9</v>
      </c>
      <c r="L575">
        <f ca="1">TRUNC((TODAY()-tBase[[#This Row],[Data Nascimento]])/365)</f>
        <v>40</v>
      </c>
      <c r="M575" t="str">
        <f ca="1">HLOOKUP(tBase[[#This Row],[Idade]],$O$3:$R$4,2,TRUE)</f>
        <v>35 - 44</v>
      </c>
    </row>
    <row r="576" spans="2:13">
      <c r="B576" s="19">
        <v>61998180036</v>
      </c>
      <c r="C576" t="s">
        <v>237</v>
      </c>
      <c r="D576" t="s">
        <v>5</v>
      </c>
      <c r="E576" t="s">
        <v>7</v>
      </c>
      <c r="F576" t="s">
        <v>427</v>
      </c>
      <c r="G576" t="s">
        <v>425</v>
      </c>
      <c r="H576" s="1">
        <v>26067</v>
      </c>
      <c r="I576" s="1" t="s">
        <v>435</v>
      </c>
      <c r="J576" t="s">
        <v>455</v>
      </c>
      <c r="K576" s="20">
        <v>9.9</v>
      </c>
      <c r="L576">
        <f ca="1">TRUNC((TODAY()-tBase[[#This Row],[Data Nascimento]])/365)</f>
        <v>54</v>
      </c>
      <c r="M576" t="str">
        <f ca="1">HLOOKUP(tBase[[#This Row],[Idade]],$O$3:$R$4,2,TRUE)</f>
        <v>54-70</v>
      </c>
    </row>
    <row r="577" spans="2:13">
      <c r="B577" s="19">
        <v>62050521447</v>
      </c>
      <c r="C577" t="s">
        <v>84</v>
      </c>
      <c r="D577" t="s">
        <v>5</v>
      </c>
      <c r="E577" t="s">
        <v>418</v>
      </c>
      <c r="F577" t="s">
        <v>13</v>
      </c>
      <c r="G577" t="s">
        <v>425</v>
      </c>
      <c r="H577" s="1">
        <v>30718</v>
      </c>
      <c r="I577" s="1" t="s">
        <v>436</v>
      </c>
      <c r="J577" t="s">
        <v>455</v>
      </c>
      <c r="K577" s="20">
        <v>9.9</v>
      </c>
      <c r="L577">
        <f ca="1">TRUNC((TODAY()-tBase[[#This Row],[Data Nascimento]])/365)</f>
        <v>42</v>
      </c>
      <c r="M577" t="str">
        <f ca="1">HLOOKUP(tBase[[#This Row],[Idade]],$O$3:$R$4,2,TRUE)</f>
        <v>35 - 44</v>
      </c>
    </row>
    <row r="578" spans="2:13">
      <c r="B578" s="19">
        <v>62673271781</v>
      </c>
      <c r="C578" t="s">
        <v>364</v>
      </c>
      <c r="D578" t="s">
        <v>5</v>
      </c>
      <c r="E578" t="s">
        <v>418</v>
      </c>
      <c r="F578" t="s">
        <v>14</v>
      </c>
      <c r="G578" t="s">
        <v>425</v>
      </c>
      <c r="H578" s="1">
        <v>33703</v>
      </c>
      <c r="I578" s="1" t="s">
        <v>430</v>
      </c>
      <c r="J578" t="s">
        <v>453</v>
      </c>
      <c r="K578" s="20">
        <v>29.9</v>
      </c>
      <c r="L578">
        <f ca="1">TRUNC((TODAY()-tBase[[#This Row],[Data Nascimento]])/365)</f>
        <v>33</v>
      </c>
      <c r="M578" t="str">
        <f ca="1">HLOOKUP(tBase[[#This Row],[Idade]],$O$3:$R$4,2,TRUE)</f>
        <v>24-34</v>
      </c>
    </row>
    <row r="579" spans="2:13">
      <c r="B579" s="19">
        <v>63042983789</v>
      </c>
      <c r="C579" t="s">
        <v>403</v>
      </c>
      <c r="D579" t="s">
        <v>6</v>
      </c>
      <c r="E579" t="s">
        <v>7</v>
      </c>
      <c r="F579" t="s">
        <v>12</v>
      </c>
      <c r="G579" t="s">
        <v>424</v>
      </c>
      <c r="H579" s="1">
        <v>32663</v>
      </c>
      <c r="I579" s="1" t="s">
        <v>435</v>
      </c>
      <c r="J579" t="s">
        <v>455</v>
      </c>
      <c r="K579" s="20">
        <v>9.9</v>
      </c>
      <c r="L579">
        <f ca="1">TRUNC((TODAY()-tBase[[#This Row],[Data Nascimento]])/365)</f>
        <v>36</v>
      </c>
      <c r="M579" t="str">
        <f ca="1">HLOOKUP(tBase[[#This Row],[Idade]],$O$3:$R$4,2,TRUE)</f>
        <v>35 - 44</v>
      </c>
    </row>
    <row r="580" spans="2:13">
      <c r="B580" s="19">
        <v>63194018864</v>
      </c>
      <c r="C580" t="s">
        <v>249</v>
      </c>
      <c r="D580" t="s">
        <v>6</v>
      </c>
      <c r="E580" t="s">
        <v>8</v>
      </c>
      <c r="F580" t="s">
        <v>427</v>
      </c>
      <c r="G580" t="s">
        <v>424</v>
      </c>
      <c r="H580" s="1">
        <v>22147</v>
      </c>
      <c r="I580" s="1" t="s">
        <v>436</v>
      </c>
      <c r="J580" t="s">
        <v>455</v>
      </c>
      <c r="K580" s="20">
        <v>9.9</v>
      </c>
      <c r="L580">
        <f ca="1">TRUNC((TODAY()-tBase[[#This Row],[Data Nascimento]])/365)</f>
        <v>65</v>
      </c>
      <c r="M580" t="str">
        <f ca="1">HLOOKUP(tBase[[#This Row],[Idade]],$O$3:$R$4,2,TRUE)</f>
        <v>54-70</v>
      </c>
    </row>
    <row r="581" spans="2:13">
      <c r="B581" s="19">
        <v>63430108478</v>
      </c>
      <c r="C581" t="s">
        <v>184</v>
      </c>
      <c r="D581" t="s">
        <v>5</v>
      </c>
      <c r="E581" t="s">
        <v>417</v>
      </c>
      <c r="F581" t="s">
        <v>14</v>
      </c>
      <c r="G581" t="s">
        <v>425</v>
      </c>
      <c r="H581" s="1">
        <v>26423</v>
      </c>
      <c r="I581" s="1" t="s">
        <v>433</v>
      </c>
      <c r="J581" t="s">
        <v>455</v>
      </c>
      <c r="K581" s="20">
        <v>9.9</v>
      </c>
      <c r="L581">
        <f ca="1">TRUNC((TODAY()-tBase[[#This Row],[Data Nascimento]])/365)</f>
        <v>53</v>
      </c>
      <c r="M581" t="str">
        <f ca="1">HLOOKUP(tBase[[#This Row],[Idade]],$O$3:$R$4,2,TRUE)</f>
        <v>44 - 54</v>
      </c>
    </row>
    <row r="582" spans="2:13">
      <c r="B582" s="19">
        <v>63534216354</v>
      </c>
      <c r="C582" t="s">
        <v>225</v>
      </c>
      <c r="D582" t="s">
        <v>5</v>
      </c>
      <c r="E582" t="s">
        <v>7</v>
      </c>
      <c r="F582" t="s">
        <v>427</v>
      </c>
      <c r="G582" t="s">
        <v>425</v>
      </c>
      <c r="H582" s="1">
        <v>28841</v>
      </c>
      <c r="I582" s="1" t="s">
        <v>433</v>
      </c>
      <c r="J582" t="s">
        <v>455</v>
      </c>
      <c r="K582" s="20">
        <v>9.9</v>
      </c>
      <c r="L582">
        <f ca="1">TRUNC((TODAY()-tBase[[#This Row],[Data Nascimento]])/365)</f>
        <v>47</v>
      </c>
      <c r="M582" t="str">
        <f ca="1">HLOOKUP(tBase[[#This Row],[Idade]],$O$3:$R$4,2,TRUE)</f>
        <v>44 - 54</v>
      </c>
    </row>
    <row r="583" spans="2:13">
      <c r="B583" s="19">
        <v>63568912225</v>
      </c>
      <c r="C583" t="s">
        <v>158</v>
      </c>
      <c r="D583" t="s">
        <v>5</v>
      </c>
      <c r="E583" t="s">
        <v>417</v>
      </c>
      <c r="F583" t="s">
        <v>13</v>
      </c>
      <c r="G583" t="s">
        <v>426</v>
      </c>
      <c r="H583" s="1">
        <v>27444</v>
      </c>
      <c r="I583" s="1" t="s">
        <v>433</v>
      </c>
      <c r="J583" t="s">
        <v>455</v>
      </c>
      <c r="K583" s="20">
        <v>9.9</v>
      </c>
      <c r="L583">
        <f ca="1">TRUNC((TODAY()-tBase[[#This Row],[Data Nascimento]])/365)</f>
        <v>50</v>
      </c>
      <c r="M583" t="str">
        <f ca="1">HLOOKUP(tBase[[#This Row],[Idade]],$O$3:$R$4,2,TRUE)</f>
        <v>44 - 54</v>
      </c>
    </row>
    <row r="584" spans="2:13">
      <c r="B584" s="19">
        <v>63795122122</v>
      </c>
      <c r="C584" t="s">
        <v>309</v>
      </c>
      <c r="D584" t="s">
        <v>6</v>
      </c>
      <c r="E584" t="s">
        <v>8</v>
      </c>
      <c r="F584" t="s">
        <v>427</v>
      </c>
      <c r="G584" t="s">
        <v>426</v>
      </c>
      <c r="H584" s="1">
        <v>34107</v>
      </c>
      <c r="I584" s="1" t="s">
        <v>433</v>
      </c>
      <c r="J584" t="s">
        <v>455</v>
      </c>
      <c r="K584" s="20">
        <v>9.9</v>
      </c>
      <c r="L584">
        <f ca="1">TRUNC((TODAY()-tBase[[#This Row],[Data Nascimento]])/365)</f>
        <v>32</v>
      </c>
      <c r="M584" t="str">
        <f ca="1">HLOOKUP(tBase[[#This Row],[Idade]],$O$3:$R$4,2,TRUE)</f>
        <v>24-34</v>
      </c>
    </row>
    <row r="585" spans="2:13">
      <c r="B585" s="19">
        <v>64130526083</v>
      </c>
      <c r="C585" t="s">
        <v>39</v>
      </c>
      <c r="D585" t="s">
        <v>6</v>
      </c>
      <c r="E585" t="s">
        <v>8</v>
      </c>
      <c r="F585" t="s">
        <v>9</v>
      </c>
      <c r="G585" t="s">
        <v>425</v>
      </c>
      <c r="H585" s="1">
        <v>31001</v>
      </c>
      <c r="I585" s="1" t="s">
        <v>433</v>
      </c>
      <c r="J585" t="s">
        <v>453</v>
      </c>
      <c r="K585" s="20">
        <v>29.9</v>
      </c>
      <c r="L585">
        <f ca="1">TRUNC((TODAY()-tBase[[#This Row],[Data Nascimento]])/365)</f>
        <v>41</v>
      </c>
      <c r="M585" t="str">
        <f ca="1">HLOOKUP(tBase[[#This Row],[Idade]],$O$3:$R$4,2,TRUE)</f>
        <v>35 - 44</v>
      </c>
    </row>
    <row r="586" spans="2:13">
      <c r="B586" s="19">
        <v>64350773035</v>
      </c>
      <c r="C586" t="s">
        <v>262</v>
      </c>
      <c r="D586" t="s">
        <v>6</v>
      </c>
      <c r="E586" t="s">
        <v>8</v>
      </c>
      <c r="F586" t="s">
        <v>427</v>
      </c>
      <c r="G586" t="s">
        <v>424</v>
      </c>
      <c r="H586" s="1">
        <v>26325</v>
      </c>
      <c r="I586" s="1" t="s">
        <v>433</v>
      </c>
      <c r="J586" t="s">
        <v>453</v>
      </c>
      <c r="K586" s="20">
        <v>29.9</v>
      </c>
      <c r="L586">
        <f ca="1">TRUNC((TODAY()-tBase[[#This Row],[Data Nascimento]])/365)</f>
        <v>54</v>
      </c>
      <c r="M586" t="str">
        <f ca="1">HLOOKUP(tBase[[#This Row],[Idade]],$O$3:$R$4,2,TRUE)</f>
        <v>54-70</v>
      </c>
    </row>
    <row r="587" spans="2:13">
      <c r="B587" s="19">
        <v>64406878055</v>
      </c>
      <c r="C587" t="s">
        <v>46</v>
      </c>
      <c r="D587" t="s">
        <v>5</v>
      </c>
      <c r="E587" t="s">
        <v>417</v>
      </c>
      <c r="F587" t="s">
        <v>427</v>
      </c>
      <c r="G587" t="s">
        <v>426</v>
      </c>
      <c r="H587" s="1">
        <v>30454</v>
      </c>
      <c r="I587" s="1" t="s">
        <v>433</v>
      </c>
      <c r="J587" t="s">
        <v>453</v>
      </c>
      <c r="K587" s="20">
        <v>29.9</v>
      </c>
      <c r="L587">
        <f ca="1">TRUNC((TODAY()-tBase[[#This Row],[Data Nascimento]])/365)</f>
        <v>42</v>
      </c>
      <c r="M587" t="str">
        <f ca="1">HLOOKUP(tBase[[#This Row],[Idade]],$O$3:$R$4,2,TRUE)</f>
        <v>35 - 44</v>
      </c>
    </row>
    <row r="588" spans="2:13">
      <c r="B588" s="19">
        <v>64709618097</v>
      </c>
      <c r="C588" t="s">
        <v>183</v>
      </c>
      <c r="D588" t="s">
        <v>5</v>
      </c>
      <c r="E588" t="s">
        <v>7</v>
      </c>
      <c r="F588" t="s">
        <v>9</v>
      </c>
      <c r="G588" t="s">
        <v>424</v>
      </c>
      <c r="H588" s="1">
        <v>24019</v>
      </c>
      <c r="I588" s="1" t="s">
        <v>433</v>
      </c>
      <c r="J588" t="s">
        <v>453</v>
      </c>
      <c r="K588" s="20">
        <v>29.9</v>
      </c>
      <c r="L588">
        <f ca="1">TRUNC((TODAY()-tBase[[#This Row],[Data Nascimento]])/365)</f>
        <v>60</v>
      </c>
      <c r="M588" t="str">
        <f ca="1">HLOOKUP(tBase[[#This Row],[Idade]],$O$3:$R$4,2,TRUE)</f>
        <v>54-70</v>
      </c>
    </row>
    <row r="589" spans="2:13">
      <c r="B589" s="19">
        <v>64859560508</v>
      </c>
      <c r="C589" t="s">
        <v>263</v>
      </c>
      <c r="D589" t="s">
        <v>5</v>
      </c>
      <c r="E589" t="s">
        <v>7</v>
      </c>
      <c r="F589" t="s">
        <v>427</v>
      </c>
      <c r="G589" t="s">
        <v>424</v>
      </c>
      <c r="H589" s="1">
        <v>25937</v>
      </c>
      <c r="I589" s="1" t="s">
        <v>433</v>
      </c>
      <c r="J589" t="s">
        <v>453</v>
      </c>
      <c r="K589" s="20">
        <v>29.9</v>
      </c>
      <c r="L589">
        <f ca="1">TRUNC((TODAY()-tBase[[#This Row],[Data Nascimento]])/365)</f>
        <v>55</v>
      </c>
      <c r="M589" t="str">
        <f ca="1">HLOOKUP(tBase[[#This Row],[Idade]],$O$3:$R$4,2,TRUE)</f>
        <v>54-70</v>
      </c>
    </row>
    <row r="590" spans="2:13">
      <c r="B590" s="19">
        <v>64965174741</v>
      </c>
      <c r="C590" t="s">
        <v>345</v>
      </c>
      <c r="D590" t="s">
        <v>5</v>
      </c>
      <c r="E590" t="s">
        <v>7</v>
      </c>
      <c r="F590" t="s">
        <v>427</v>
      </c>
      <c r="G590" t="s">
        <v>425</v>
      </c>
      <c r="H590" s="1">
        <v>26331</v>
      </c>
      <c r="I590" s="1" t="s">
        <v>429</v>
      </c>
      <c r="J590" t="s">
        <v>455</v>
      </c>
      <c r="K590" s="20">
        <v>9.9</v>
      </c>
      <c r="L590">
        <f ca="1">TRUNC((TODAY()-tBase[[#This Row],[Data Nascimento]])/365)</f>
        <v>54</v>
      </c>
      <c r="M590" t="str">
        <f ca="1">HLOOKUP(tBase[[#This Row],[Idade]],$O$3:$R$4,2,TRUE)</f>
        <v>54-70</v>
      </c>
    </row>
    <row r="591" spans="2:13">
      <c r="B591" s="19">
        <v>65014260265</v>
      </c>
      <c r="C591" t="s">
        <v>367</v>
      </c>
      <c r="D591" t="s">
        <v>6</v>
      </c>
      <c r="E591" t="s">
        <v>7</v>
      </c>
      <c r="F591" t="s">
        <v>12</v>
      </c>
      <c r="G591" t="s">
        <v>425</v>
      </c>
      <c r="H591" s="1">
        <v>28527</v>
      </c>
      <c r="I591" s="1" t="s">
        <v>432</v>
      </c>
      <c r="J591" t="s">
        <v>456</v>
      </c>
      <c r="K591" s="20">
        <v>79.900000000000006</v>
      </c>
      <c r="L591">
        <f ca="1">TRUNC((TODAY()-tBase[[#This Row],[Data Nascimento]])/365)</f>
        <v>48</v>
      </c>
      <c r="M591" t="str">
        <f ca="1">HLOOKUP(tBase[[#This Row],[Idade]],$O$3:$R$4,2,TRUE)</f>
        <v>44 - 54</v>
      </c>
    </row>
    <row r="592" spans="2:13">
      <c r="B592" s="19">
        <v>65252032106</v>
      </c>
      <c r="C592" t="s">
        <v>107</v>
      </c>
      <c r="D592" t="s">
        <v>6</v>
      </c>
      <c r="E592" t="s">
        <v>7</v>
      </c>
      <c r="F592" t="s">
        <v>13</v>
      </c>
      <c r="G592" t="s">
        <v>425</v>
      </c>
      <c r="H592" s="1">
        <v>25597</v>
      </c>
      <c r="I592" s="1" t="s">
        <v>436</v>
      </c>
      <c r="J592" t="s">
        <v>453</v>
      </c>
      <c r="K592" s="20">
        <v>29.9</v>
      </c>
      <c r="L592">
        <f ca="1">TRUNC((TODAY()-tBase[[#This Row],[Data Nascimento]])/365)</f>
        <v>56</v>
      </c>
      <c r="M592" t="str">
        <f ca="1">HLOOKUP(tBase[[#This Row],[Idade]],$O$3:$R$4,2,TRUE)</f>
        <v>54-70</v>
      </c>
    </row>
    <row r="593" spans="2:13">
      <c r="B593" s="19">
        <v>65320164752</v>
      </c>
      <c r="C593" t="s">
        <v>15</v>
      </c>
      <c r="D593" t="s">
        <v>6</v>
      </c>
      <c r="E593" t="s">
        <v>417</v>
      </c>
      <c r="F593" t="s">
        <v>9</v>
      </c>
      <c r="G593" t="s">
        <v>425</v>
      </c>
      <c r="H593" s="1">
        <v>23147</v>
      </c>
      <c r="I593" s="1" t="s">
        <v>436</v>
      </c>
      <c r="J593" t="s">
        <v>455</v>
      </c>
      <c r="K593" s="20">
        <v>9.9</v>
      </c>
      <c r="L593">
        <f ca="1">TRUNC((TODAY()-tBase[[#This Row],[Data Nascimento]])/365)</f>
        <v>62</v>
      </c>
      <c r="M593" t="str">
        <f ca="1">HLOOKUP(tBase[[#This Row],[Idade]],$O$3:$R$4,2,TRUE)</f>
        <v>54-70</v>
      </c>
    </row>
    <row r="594" spans="2:13">
      <c r="B594" s="19">
        <v>65344117273</v>
      </c>
      <c r="C594" t="s">
        <v>96</v>
      </c>
      <c r="D594" t="s">
        <v>6</v>
      </c>
      <c r="E594" t="s">
        <v>7</v>
      </c>
      <c r="F594" t="s">
        <v>13</v>
      </c>
      <c r="G594" t="s">
        <v>426</v>
      </c>
      <c r="H594" s="1">
        <v>25396</v>
      </c>
      <c r="I594" s="1" t="s">
        <v>436</v>
      </c>
      <c r="J594" t="s">
        <v>454</v>
      </c>
      <c r="K594" s="20">
        <v>35.9</v>
      </c>
      <c r="L594">
        <f ca="1">TRUNC((TODAY()-tBase[[#This Row],[Data Nascimento]])/365)</f>
        <v>56</v>
      </c>
      <c r="M594" t="str">
        <f ca="1">HLOOKUP(tBase[[#This Row],[Idade]],$O$3:$R$4,2,TRUE)</f>
        <v>54-70</v>
      </c>
    </row>
    <row r="595" spans="2:13">
      <c r="B595" s="19">
        <v>65345196819</v>
      </c>
      <c r="C595" t="s">
        <v>276</v>
      </c>
      <c r="D595" t="s">
        <v>6</v>
      </c>
      <c r="E595" t="s">
        <v>7</v>
      </c>
      <c r="F595" t="s">
        <v>13</v>
      </c>
      <c r="G595" t="s">
        <v>426</v>
      </c>
      <c r="H595" s="1">
        <v>32627</v>
      </c>
      <c r="I595" s="1" t="s">
        <v>436</v>
      </c>
      <c r="J595" t="s">
        <v>455</v>
      </c>
      <c r="K595" s="20">
        <v>9.9</v>
      </c>
      <c r="L595">
        <f ca="1">TRUNC((TODAY()-tBase[[#This Row],[Data Nascimento]])/365)</f>
        <v>36</v>
      </c>
      <c r="M595" t="str">
        <f ca="1">HLOOKUP(tBase[[#This Row],[Idade]],$O$3:$R$4,2,TRUE)</f>
        <v>35 - 44</v>
      </c>
    </row>
    <row r="596" spans="2:13">
      <c r="B596" s="19">
        <v>65384833003</v>
      </c>
      <c r="C596" t="s">
        <v>172</v>
      </c>
      <c r="D596" t="s">
        <v>6</v>
      </c>
      <c r="E596" t="s">
        <v>8</v>
      </c>
      <c r="F596" t="s">
        <v>14</v>
      </c>
      <c r="G596" t="s">
        <v>425</v>
      </c>
      <c r="H596" s="1">
        <v>32222</v>
      </c>
      <c r="I596" s="1" t="s">
        <v>436</v>
      </c>
      <c r="J596" t="s">
        <v>453</v>
      </c>
      <c r="K596" s="20">
        <v>29.9</v>
      </c>
      <c r="L596">
        <f ca="1">TRUNC((TODAY()-tBase[[#This Row],[Data Nascimento]])/365)</f>
        <v>37</v>
      </c>
      <c r="M596" t="str">
        <f ca="1">HLOOKUP(tBase[[#This Row],[Idade]],$O$3:$R$4,2,TRUE)</f>
        <v>35 - 44</v>
      </c>
    </row>
    <row r="597" spans="2:13">
      <c r="B597" s="19">
        <v>65490123014</v>
      </c>
      <c r="C597" t="s">
        <v>324</v>
      </c>
      <c r="D597" t="s">
        <v>6</v>
      </c>
      <c r="E597" t="s">
        <v>418</v>
      </c>
      <c r="F597" t="s">
        <v>13</v>
      </c>
      <c r="G597" t="s">
        <v>425</v>
      </c>
      <c r="H597" s="1">
        <v>29810</v>
      </c>
      <c r="I597" s="1" t="s">
        <v>436</v>
      </c>
      <c r="J597" t="s">
        <v>455</v>
      </c>
      <c r="K597" s="20">
        <v>9.9</v>
      </c>
      <c r="L597">
        <f ca="1">TRUNC((TODAY()-tBase[[#This Row],[Data Nascimento]])/365)</f>
        <v>44</v>
      </c>
      <c r="M597" t="str">
        <f ca="1">HLOOKUP(tBase[[#This Row],[Idade]],$O$3:$R$4,2,TRUE)</f>
        <v>44 - 54</v>
      </c>
    </row>
    <row r="598" spans="2:13">
      <c r="B598" s="19">
        <v>65784346414</v>
      </c>
      <c r="C598" t="s">
        <v>127</v>
      </c>
      <c r="D598" t="s">
        <v>6</v>
      </c>
      <c r="E598" t="s">
        <v>7</v>
      </c>
      <c r="F598" t="s">
        <v>12</v>
      </c>
      <c r="G598" t="s">
        <v>425</v>
      </c>
      <c r="H598" s="1">
        <v>36453</v>
      </c>
      <c r="I598" s="1" t="s">
        <v>435</v>
      </c>
      <c r="J598" t="s">
        <v>456</v>
      </c>
      <c r="K598" s="20">
        <v>79.900000000000006</v>
      </c>
      <c r="L598">
        <f ca="1">TRUNC((TODAY()-tBase[[#This Row],[Data Nascimento]])/365)</f>
        <v>26</v>
      </c>
      <c r="M598" t="str">
        <f ca="1">HLOOKUP(tBase[[#This Row],[Idade]],$O$3:$R$4,2,TRUE)</f>
        <v>24-34</v>
      </c>
    </row>
    <row r="599" spans="2:13">
      <c r="B599" s="19">
        <v>66053578513</v>
      </c>
      <c r="C599" t="s">
        <v>404</v>
      </c>
      <c r="D599" t="s">
        <v>5</v>
      </c>
      <c r="E599" t="s">
        <v>418</v>
      </c>
      <c r="F599" t="s">
        <v>13</v>
      </c>
      <c r="G599" t="s">
        <v>425</v>
      </c>
      <c r="H599" s="1">
        <v>34334</v>
      </c>
      <c r="I599" s="1" t="s">
        <v>433</v>
      </c>
      <c r="J599" t="s">
        <v>455</v>
      </c>
      <c r="K599" s="20">
        <v>9.9</v>
      </c>
      <c r="L599">
        <f ca="1">TRUNC((TODAY()-tBase[[#This Row],[Data Nascimento]])/365)</f>
        <v>32</v>
      </c>
      <c r="M599" t="str">
        <f ca="1">HLOOKUP(tBase[[#This Row],[Idade]],$O$3:$R$4,2,TRUE)</f>
        <v>24-34</v>
      </c>
    </row>
    <row r="600" spans="2:13">
      <c r="B600" s="19">
        <v>66332658626</v>
      </c>
      <c r="C600" t="s">
        <v>191</v>
      </c>
      <c r="D600" t="s">
        <v>5</v>
      </c>
      <c r="E600" t="s">
        <v>417</v>
      </c>
      <c r="F600" t="s">
        <v>427</v>
      </c>
      <c r="G600" t="s">
        <v>424</v>
      </c>
      <c r="H600" s="1">
        <v>23463</v>
      </c>
      <c r="I600" s="1" t="s">
        <v>433</v>
      </c>
      <c r="J600" t="s">
        <v>453</v>
      </c>
      <c r="K600" s="20">
        <v>29.9</v>
      </c>
      <c r="L600">
        <f ca="1">TRUNC((TODAY()-tBase[[#This Row],[Data Nascimento]])/365)</f>
        <v>61</v>
      </c>
      <c r="M600" t="str">
        <f ca="1">HLOOKUP(tBase[[#This Row],[Idade]],$O$3:$R$4,2,TRUE)</f>
        <v>54-70</v>
      </c>
    </row>
    <row r="601" spans="2:13">
      <c r="B601" s="19">
        <v>66760582781</v>
      </c>
      <c r="C601" t="s">
        <v>140</v>
      </c>
      <c r="D601" t="s">
        <v>6</v>
      </c>
      <c r="E601" t="s">
        <v>7</v>
      </c>
      <c r="F601" t="s">
        <v>13</v>
      </c>
      <c r="G601" t="s">
        <v>425</v>
      </c>
      <c r="H601" s="1">
        <v>26251</v>
      </c>
      <c r="I601" s="1" t="s">
        <v>433</v>
      </c>
      <c r="J601" t="s">
        <v>455</v>
      </c>
      <c r="K601" s="20">
        <v>9.9</v>
      </c>
      <c r="L601">
        <f ca="1">TRUNC((TODAY()-tBase[[#This Row],[Data Nascimento]])/365)</f>
        <v>54</v>
      </c>
      <c r="M601" t="str">
        <f ca="1">HLOOKUP(tBase[[#This Row],[Idade]],$O$3:$R$4,2,TRUE)</f>
        <v>54-70</v>
      </c>
    </row>
    <row r="602" spans="2:13">
      <c r="B602" s="19">
        <v>66893530711</v>
      </c>
      <c r="C602" t="s">
        <v>60</v>
      </c>
      <c r="D602" t="s">
        <v>6</v>
      </c>
      <c r="E602" t="s">
        <v>7</v>
      </c>
      <c r="F602" t="s">
        <v>13</v>
      </c>
      <c r="G602" t="s">
        <v>425</v>
      </c>
      <c r="H602" s="1">
        <v>31975</v>
      </c>
      <c r="I602" s="1" t="s">
        <v>433</v>
      </c>
      <c r="J602" t="s">
        <v>455</v>
      </c>
      <c r="K602" s="20">
        <v>9.9</v>
      </c>
      <c r="L602">
        <f ca="1">TRUNC((TODAY()-tBase[[#This Row],[Data Nascimento]])/365)</f>
        <v>38</v>
      </c>
      <c r="M602" t="str">
        <f ca="1">HLOOKUP(tBase[[#This Row],[Idade]],$O$3:$R$4,2,TRUE)</f>
        <v>35 - 44</v>
      </c>
    </row>
    <row r="603" spans="2:13">
      <c r="B603" s="19">
        <v>67257820477</v>
      </c>
      <c r="C603" t="s">
        <v>332</v>
      </c>
      <c r="D603" t="s">
        <v>6</v>
      </c>
      <c r="E603" t="s">
        <v>8</v>
      </c>
      <c r="F603" t="s">
        <v>13</v>
      </c>
      <c r="G603" t="s">
        <v>425</v>
      </c>
      <c r="H603" s="1">
        <v>32114</v>
      </c>
      <c r="I603" s="1" t="s">
        <v>433</v>
      </c>
      <c r="J603" t="s">
        <v>455</v>
      </c>
      <c r="K603" s="20">
        <v>9.9</v>
      </c>
      <c r="L603">
        <f ca="1">TRUNC((TODAY()-tBase[[#This Row],[Data Nascimento]])/365)</f>
        <v>38</v>
      </c>
      <c r="M603" t="str">
        <f ca="1">HLOOKUP(tBase[[#This Row],[Idade]],$O$3:$R$4,2,TRUE)</f>
        <v>35 - 44</v>
      </c>
    </row>
    <row r="604" spans="2:13">
      <c r="B604" s="19">
        <v>67330566972</v>
      </c>
      <c r="C604" t="s">
        <v>95</v>
      </c>
      <c r="D604" t="s">
        <v>6</v>
      </c>
      <c r="E604" t="s">
        <v>417</v>
      </c>
      <c r="F604" t="s">
        <v>427</v>
      </c>
      <c r="G604" t="s">
        <v>425</v>
      </c>
      <c r="H604" s="1">
        <v>26195</v>
      </c>
      <c r="I604" s="1" t="s">
        <v>430</v>
      </c>
      <c r="J604" t="s">
        <v>453</v>
      </c>
      <c r="K604" s="20">
        <v>29.9</v>
      </c>
      <c r="L604">
        <f ca="1">TRUNC((TODAY()-tBase[[#This Row],[Data Nascimento]])/365)</f>
        <v>54</v>
      </c>
      <c r="M604" t="str">
        <f ca="1">HLOOKUP(tBase[[#This Row],[Idade]],$O$3:$R$4,2,TRUE)</f>
        <v>54-70</v>
      </c>
    </row>
    <row r="605" spans="2:13">
      <c r="B605" s="19">
        <v>67780271893</v>
      </c>
      <c r="C605" t="s">
        <v>130</v>
      </c>
      <c r="D605" t="s">
        <v>6</v>
      </c>
      <c r="E605" t="s">
        <v>7</v>
      </c>
      <c r="F605" t="s">
        <v>14</v>
      </c>
      <c r="G605" t="s">
        <v>426</v>
      </c>
      <c r="H605" s="1">
        <v>33389</v>
      </c>
      <c r="I605" s="1" t="s">
        <v>429</v>
      </c>
      <c r="J605" t="s">
        <v>453</v>
      </c>
      <c r="K605" s="20">
        <v>29.9</v>
      </c>
      <c r="L605">
        <f ca="1">TRUNC((TODAY()-tBase[[#This Row],[Data Nascimento]])/365)</f>
        <v>34</v>
      </c>
      <c r="M605" t="str">
        <f ca="1">HLOOKUP(tBase[[#This Row],[Idade]],$O$3:$R$4,2,TRUE)</f>
        <v>24-34</v>
      </c>
    </row>
    <row r="606" spans="2:13">
      <c r="B606" s="19">
        <v>67927286591</v>
      </c>
      <c r="C606" t="s">
        <v>415</v>
      </c>
      <c r="D606" t="s">
        <v>6</v>
      </c>
      <c r="E606" t="s">
        <v>417</v>
      </c>
      <c r="F606" t="s">
        <v>12</v>
      </c>
      <c r="G606" t="s">
        <v>425</v>
      </c>
      <c r="H606" s="1">
        <v>26151</v>
      </c>
      <c r="I606" s="1" t="s">
        <v>431</v>
      </c>
      <c r="J606" t="s">
        <v>456</v>
      </c>
      <c r="K606" s="20">
        <v>79.900000000000006</v>
      </c>
      <c r="L606">
        <f ca="1">TRUNC((TODAY()-tBase[[#This Row],[Data Nascimento]])/365)</f>
        <v>54</v>
      </c>
      <c r="M606" t="str">
        <f ca="1">HLOOKUP(tBase[[#This Row],[Idade]],$O$3:$R$4,2,TRUE)</f>
        <v>54-70</v>
      </c>
    </row>
    <row r="607" spans="2:13">
      <c r="B607" s="19">
        <v>68287318390</v>
      </c>
      <c r="C607" t="s">
        <v>410</v>
      </c>
      <c r="D607" t="s">
        <v>5</v>
      </c>
      <c r="E607" t="s">
        <v>7</v>
      </c>
      <c r="F607" t="s">
        <v>13</v>
      </c>
      <c r="G607" t="s">
        <v>426</v>
      </c>
      <c r="H607" s="1">
        <v>31684</v>
      </c>
      <c r="I607" s="1" t="s">
        <v>432</v>
      </c>
      <c r="J607" t="s">
        <v>456</v>
      </c>
      <c r="K607" s="20">
        <v>79.900000000000006</v>
      </c>
      <c r="L607">
        <f ca="1">TRUNC((TODAY()-tBase[[#This Row],[Data Nascimento]])/365)</f>
        <v>39</v>
      </c>
      <c r="M607" t="str">
        <f ca="1">HLOOKUP(tBase[[#This Row],[Idade]],$O$3:$R$4,2,TRUE)</f>
        <v>35 - 44</v>
      </c>
    </row>
    <row r="608" spans="2:13">
      <c r="B608" s="19">
        <v>68419842651</v>
      </c>
      <c r="C608" t="s">
        <v>194</v>
      </c>
      <c r="D608" t="s">
        <v>5</v>
      </c>
      <c r="E608" t="s">
        <v>417</v>
      </c>
      <c r="F608" t="s">
        <v>13</v>
      </c>
      <c r="G608" t="s">
        <v>425</v>
      </c>
      <c r="H608" s="1">
        <v>32037</v>
      </c>
      <c r="I608" s="1" t="s">
        <v>434</v>
      </c>
      <c r="J608" t="s">
        <v>456</v>
      </c>
      <c r="K608" s="20">
        <v>79.900000000000006</v>
      </c>
      <c r="L608">
        <f ca="1">TRUNC((TODAY()-tBase[[#This Row],[Data Nascimento]])/365)</f>
        <v>38</v>
      </c>
      <c r="M608" t="str">
        <f ca="1">HLOOKUP(tBase[[#This Row],[Idade]],$O$3:$R$4,2,TRUE)</f>
        <v>35 - 44</v>
      </c>
    </row>
    <row r="609" spans="2:13">
      <c r="B609" s="19">
        <v>68722509568</v>
      </c>
      <c r="C609" t="s">
        <v>239</v>
      </c>
      <c r="D609" t="s">
        <v>5</v>
      </c>
      <c r="E609" t="s">
        <v>8</v>
      </c>
      <c r="F609" t="s">
        <v>427</v>
      </c>
      <c r="G609" t="s">
        <v>425</v>
      </c>
      <c r="H609" s="1">
        <v>25592</v>
      </c>
      <c r="I609" s="1" t="s">
        <v>430</v>
      </c>
      <c r="J609" t="s">
        <v>453</v>
      </c>
      <c r="K609" s="20">
        <v>29.9</v>
      </c>
      <c r="L609">
        <f ca="1">TRUNC((TODAY()-tBase[[#This Row],[Data Nascimento]])/365)</f>
        <v>56</v>
      </c>
      <c r="M609" t="str">
        <f ca="1">HLOOKUP(tBase[[#This Row],[Idade]],$O$3:$R$4,2,TRUE)</f>
        <v>54-70</v>
      </c>
    </row>
    <row r="610" spans="2:13">
      <c r="B610" s="19">
        <v>68759209105</v>
      </c>
      <c r="C610" t="s">
        <v>386</v>
      </c>
      <c r="D610" t="s">
        <v>5</v>
      </c>
      <c r="E610" t="s">
        <v>417</v>
      </c>
      <c r="F610" t="s">
        <v>13</v>
      </c>
      <c r="G610" t="s">
        <v>426</v>
      </c>
      <c r="H610" s="1">
        <v>32608</v>
      </c>
      <c r="I610" s="1" t="s">
        <v>435</v>
      </c>
      <c r="J610" t="s">
        <v>456</v>
      </c>
      <c r="K610" s="20">
        <v>79.900000000000006</v>
      </c>
      <c r="L610">
        <f ca="1">TRUNC((TODAY()-tBase[[#This Row],[Data Nascimento]])/365)</f>
        <v>36</v>
      </c>
      <c r="M610" t="str">
        <f ca="1">HLOOKUP(tBase[[#This Row],[Idade]],$O$3:$R$4,2,TRUE)</f>
        <v>35 - 44</v>
      </c>
    </row>
    <row r="611" spans="2:13">
      <c r="B611" s="19">
        <v>68766514941</v>
      </c>
      <c r="C611" t="s">
        <v>198</v>
      </c>
      <c r="D611" t="s">
        <v>5</v>
      </c>
      <c r="E611" t="s">
        <v>417</v>
      </c>
      <c r="F611" t="s">
        <v>11</v>
      </c>
      <c r="G611" t="s">
        <v>426</v>
      </c>
      <c r="H611" s="1">
        <v>31861</v>
      </c>
      <c r="I611" s="1" t="s">
        <v>436</v>
      </c>
      <c r="J611" t="s">
        <v>456</v>
      </c>
      <c r="K611" s="20">
        <v>79.900000000000006</v>
      </c>
      <c r="L611">
        <f ca="1">TRUNC((TODAY()-tBase[[#This Row],[Data Nascimento]])/365)</f>
        <v>38</v>
      </c>
      <c r="M611" t="str">
        <f ca="1">HLOOKUP(tBase[[#This Row],[Idade]],$O$3:$R$4,2,TRUE)</f>
        <v>35 - 44</v>
      </c>
    </row>
    <row r="612" spans="2:13">
      <c r="B612" s="19">
        <v>69009325528</v>
      </c>
      <c r="C612" t="s">
        <v>384</v>
      </c>
      <c r="D612" t="s">
        <v>5</v>
      </c>
      <c r="E612" t="s">
        <v>417</v>
      </c>
      <c r="F612" t="s">
        <v>13</v>
      </c>
      <c r="G612" t="s">
        <v>425</v>
      </c>
      <c r="H612" s="1">
        <v>30470</v>
      </c>
      <c r="I612" s="1" t="s">
        <v>430</v>
      </c>
      <c r="J612" t="s">
        <v>454</v>
      </c>
      <c r="K612" s="20">
        <v>35.9</v>
      </c>
      <c r="L612">
        <f ca="1">TRUNC((TODAY()-tBase[[#This Row],[Data Nascimento]])/365)</f>
        <v>42</v>
      </c>
      <c r="M612" t="str">
        <f ca="1">HLOOKUP(tBase[[#This Row],[Idade]],$O$3:$R$4,2,TRUE)</f>
        <v>35 - 44</v>
      </c>
    </row>
    <row r="613" spans="2:13">
      <c r="B613" s="19">
        <v>69020558638</v>
      </c>
      <c r="C613" t="s">
        <v>346</v>
      </c>
      <c r="D613" t="s">
        <v>6</v>
      </c>
      <c r="E613" t="s">
        <v>417</v>
      </c>
      <c r="F613" t="s">
        <v>14</v>
      </c>
      <c r="G613" t="s">
        <v>426</v>
      </c>
      <c r="H613" s="1">
        <v>30488</v>
      </c>
      <c r="I613" s="1" t="s">
        <v>435</v>
      </c>
      <c r="J613" t="s">
        <v>453</v>
      </c>
      <c r="K613" s="20">
        <v>29.9</v>
      </c>
      <c r="L613">
        <f ca="1">TRUNC((TODAY()-tBase[[#This Row],[Data Nascimento]])/365)</f>
        <v>42</v>
      </c>
      <c r="M613" t="str">
        <f ca="1">HLOOKUP(tBase[[#This Row],[Idade]],$O$3:$R$4,2,TRUE)</f>
        <v>35 - 44</v>
      </c>
    </row>
    <row r="614" spans="2:13">
      <c r="B614" s="19">
        <v>69160901332</v>
      </c>
      <c r="C614" t="s">
        <v>328</v>
      </c>
      <c r="D614" t="s">
        <v>6</v>
      </c>
      <c r="E614" t="s">
        <v>416</v>
      </c>
      <c r="F614" t="s">
        <v>14</v>
      </c>
      <c r="G614" t="s">
        <v>425</v>
      </c>
      <c r="H614" s="1">
        <v>29958</v>
      </c>
      <c r="I614" s="1" t="s">
        <v>436</v>
      </c>
      <c r="J614" t="s">
        <v>455</v>
      </c>
      <c r="K614" s="20">
        <v>9.9</v>
      </c>
      <c r="L614">
        <f ca="1">TRUNC((TODAY()-tBase[[#This Row],[Data Nascimento]])/365)</f>
        <v>44</v>
      </c>
      <c r="M614" t="str">
        <f ca="1">HLOOKUP(tBase[[#This Row],[Idade]],$O$3:$R$4,2,TRUE)</f>
        <v>44 - 54</v>
      </c>
    </row>
    <row r="615" spans="2:13">
      <c r="B615" s="19">
        <v>69275333938</v>
      </c>
      <c r="C615" t="s">
        <v>137</v>
      </c>
      <c r="D615" t="s">
        <v>6</v>
      </c>
      <c r="E615" t="s">
        <v>7</v>
      </c>
      <c r="F615" t="s">
        <v>427</v>
      </c>
      <c r="G615" t="s">
        <v>425</v>
      </c>
      <c r="H615" s="1">
        <v>27242</v>
      </c>
      <c r="I615" s="1" t="s">
        <v>433</v>
      </c>
      <c r="J615" t="s">
        <v>454</v>
      </c>
      <c r="K615" s="20">
        <v>35.9</v>
      </c>
      <c r="L615">
        <f ca="1">TRUNC((TODAY()-tBase[[#This Row],[Data Nascimento]])/365)</f>
        <v>51</v>
      </c>
      <c r="M615" t="str">
        <f ca="1">HLOOKUP(tBase[[#This Row],[Idade]],$O$3:$R$4,2,TRUE)</f>
        <v>44 - 54</v>
      </c>
    </row>
    <row r="616" spans="2:13">
      <c r="B616" s="19">
        <v>69591068465</v>
      </c>
      <c r="C616" t="s">
        <v>353</v>
      </c>
      <c r="D616" t="s">
        <v>5</v>
      </c>
      <c r="E616" t="s">
        <v>7</v>
      </c>
      <c r="F616" t="s">
        <v>427</v>
      </c>
      <c r="G616" t="s">
        <v>424</v>
      </c>
      <c r="H616" s="1">
        <v>24675</v>
      </c>
      <c r="I616" s="1" t="s">
        <v>433</v>
      </c>
      <c r="J616" t="s">
        <v>454</v>
      </c>
      <c r="K616" s="20">
        <v>35.9</v>
      </c>
      <c r="L616">
        <f ca="1">TRUNC((TODAY()-tBase[[#This Row],[Data Nascimento]])/365)</f>
        <v>58</v>
      </c>
      <c r="M616" t="str">
        <f ca="1">HLOOKUP(tBase[[#This Row],[Idade]],$O$3:$R$4,2,TRUE)</f>
        <v>54-70</v>
      </c>
    </row>
    <row r="617" spans="2:13">
      <c r="B617" s="19">
        <v>69711643192</v>
      </c>
      <c r="C617" t="s">
        <v>326</v>
      </c>
      <c r="D617" t="s">
        <v>6</v>
      </c>
      <c r="E617" t="s">
        <v>417</v>
      </c>
      <c r="F617" t="s">
        <v>13</v>
      </c>
      <c r="G617" t="s">
        <v>426</v>
      </c>
      <c r="H617" s="1">
        <v>33087</v>
      </c>
      <c r="I617" s="1" t="s">
        <v>433</v>
      </c>
      <c r="J617" t="s">
        <v>455</v>
      </c>
      <c r="K617" s="20">
        <v>9.9</v>
      </c>
      <c r="L617">
        <f ca="1">TRUNC((TODAY()-tBase[[#This Row],[Data Nascimento]])/365)</f>
        <v>35</v>
      </c>
      <c r="M617" t="str">
        <f ca="1">HLOOKUP(tBase[[#This Row],[Idade]],$O$3:$R$4,2,TRUE)</f>
        <v>35 - 44</v>
      </c>
    </row>
    <row r="618" spans="2:13">
      <c r="B618" s="19">
        <v>69832499336</v>
      </c>
      <c r="C618" t="s">
        <v>297</v>
      </c>
      <c r="D618" t="s">
        <v>5</v>
      </c>
      <c r="E618" t="s">
        <v>7</v>
      </c>
      <c r="F618" t="s">
        <v>427</v>
      </c>
      <c r="G618" t="s">
        <v>425</v>
      </c>
      <c r="H618" s="1">
        <v>32869</v>
      </c>
      <c r="I618" s="1" t="s">
        <v>433</v>
      </c>
      <c r="J618" t="s">
        <v>455</v>
      </c>
      <c r="K618" s="20">
        <v>9.9</v>
      </c>
      <c r="L618">
        <f ca="1">TRUNC((TODAY()-tBase[[#This Row],[Data Nascimento]])/365)</f>
        <v>36</v>
      </c>
      <c r="M618" t="str">
        <f ca="1">HLOOKUP(tBase[[#This Row],[Idade]],$O$3:$R$4,2,TRUE)</f>
        <v>35 - 44</v>
      </c>
    </row>
    <row r="619" spans="2:13">
      <c r="B619" s="19">
        <v>69859227518</v>
      </c>
      <c r="C619" t="s">
        <v>205</v>
      </c>
      <c r="D619" t="s">
        <v>5</v>
      </c>
      <c r="E619" t="s">
        <v>7</v>
      </c>
      <c r="F619" t="s">
        <v>427</v>
      </c>
      <c r="G619" t="s">
        <v>425</v>
      </c>
      <c r="H619" s="1">
        <v>33151</v>
      </c>
      <c r="I619" s="1" t="s">
        <v>433</v>
      </c>
      <c r="J619" t="s">
        <v>454</v>
      </c>
      <c r="K619" s="20">
        <v>35.9</v>
      </c>
      <c r="L619">
        <f ca="1">TRUNC((TODAY()-tBase[[#This Row],[Data Nascimento]])/365)</f>
        <v>35</v>
      </c>
      <c r="M619" t="str">
        <f ca="1">HLOOKUP(tBase[[#This Row],[Idade]],$O$3:$R$4,2,TRUE)</f>
        <v>35 - 44</v>
      </c>
    </row>
    <row r="620" spans="2:13">
      <c r="B620" s="19">
        <v>70125809974</v>
      </c>
      <c r="C620" t="s">
        <v>304</v>
      </c>
      <c r="D620" t="s">
        <v>6</v>
      </c>
      <c r="E620" t="s">
        <v>417</v>
      </c>
      <c r="F620" t="s">
        <v>14</v>
      </c>
      <c r="G620" t="s">
        <v>425</v>
      </c>
      <c r="H620" s="1">
        <v>25060</v>
      </c>
      <c r="I620" s="1" t="s">
        <v>433</v>
      </c>
      <c r="J620" t="s">
        <v>453</v>
      </c>
      <c r="K620" s="20">
        <v>29.9</v>
      </c>
      <c r="L620">
        <f ca="1">TRUNC((TODAY()-tBase[[#This Row],[Data Nascimento]])/365)</f>
        <v>57</v>
      </c>
      <c r="M620" t="str">
        <f ca="1">HLOOKUP(tBase[[#This Row],[Idade]],$O$3:$R$4,2,TRUE)</f>
        <v>54-70</v>
      </c>
    </row>
    <row r="621" spans="2:13">
      <c r="B621" s="19">
        <v>70992659687</v>
      </c>
      <c r="C621" t="s">
        <v>43</v>
      </c>
      <c r="D621" t="s">
        <v>6</v>
      </c>
      <c r="E621" t="s">
        <v>7</v>
      </c>
      <c r="F621" t="s">
        <v>12</v>
      </c>
      <c r="G621" t="s">
        <v>424</v>
      </c>
      <c r="H621" s="1">
        <v>29124</v>
      </c>
      <c r="I621" s="1" t="s">
        <v>433</v>
      </c>
      <c r="J621" t="s">
        <v>455</v>
      </c>
      <c r="K621" s="20">
        <v>9.9</v>
      </c>
      <c r="L621">
        <f ca="1">TRUNC((TODAY()-tBase[[#This Row],[Data Nascimento]])/365)</f>
        <v>46</v>
      </c>
      <c r="M621" t="str">
        <f ca="1">HLOOKUP(tBase[[#This Row],[Idade]],$O$3:$R$4,2,TRUE)</f>
        <v>44 - 54</v>
      </c>
    </row>
    <row r="622" spans="2:13">
      <c r="B622" s="19">
        <v>71237243348</v>
      </c>
      <c r="C622" t="s">
        <v>177</v>
      </c>
      <c r="D622" t="s">
        <v>5</v>
      </c>
      <c r="E622" t="s">
        <v>7</v>
      </c>
      <c r="F622" t="s">
        <v>427</v>
      </c>
      <c r="G622" t="s">
        <v>425</v>
      </c>
      <c r="H622" s="1">
        <v>31235</v>
      </c>
      <c r="I622" s="1" t="s">
        <v>433</v>
      </c>
      <c r="J622" t="s">
        <v>455</v>
      </c>
      <c r="K622" s="20">
        <v>9.9</v>
      </c>
      <c r="L622">
        <f ca="1">TRUNC((TODAY()-tBase[[#This Row],[Data Nascimento]])/365)</f>
        <v>40</v>
      </c>
      <c r="M622" t="str">
        <f ca="1">HLOOKUP(tBase[[#This Row],[Idade]],$O$3:$R$4,2,TRUE)</f>
        <v>35 - 44</v>
      </c>
    </row>
    <row r="623" spans="2:13">
      <c r="B623" s="19">
        <v>71277357983</v>
      </c>
      <c r="C623" t="s">
        <v>148</v>
      </c>
      <c r="D623" t="s">
        <v>6</v>
      </c>
      <c r="E623" t="s">
        <v>416</v>
      </c>
      <c r="F623" t="s">
        <v>14</v>
      </c>
      <c r="G623" t="s">
        <v>425</v>
      </c>
      <c r="H623" s="1">
        <v>24633</v>
      </c>
      <c r="I623" s="1" t="s">
        <v>433</v>
      </c>
      <c r="J623" t="s">
        <v>453</v>
      </c>
      <c r="K623" s="20">
        <v>29.9</v>
      </c>
      <c r="L623">
        <f ca="1">TRUNC((TODAY()-tBase[[#This Row],[Data Nascimento]])/365)</f>
        <v>58</v>
      </c>
      <c r="M623" t="str">
        <f ca="1">HLOOKUP(tBase[[#This Row],[Idade]],$O$3:$R$4,2,TRUE)</f>
        <v>54-70</v>
      </c>
    </row>
    <row r="624" spans="2:13">
      <c r="B624" s="19">
        <v>71408591056</v>
      </c>
      <c r="C624" t="s">
        <v>162</v>
      </c>
      <c r="D624" t="s">
        <v>5</v>
      </c>
      <c r="E624" t="s">
        <v>8</v>
      </c>
      <c r="F624" t="s">
        <v>11</v>
      </c>
      <c r="G624" t="s">
        <v>424</v>
      </c>
      <c r="H624" s="1">
        <v>29646</v>
      </c>
      <c r="I624" s="1" t="s">
        <v>429</v>
      </c>
      <c r="J624" t="s">
        <v>456</v>
      </c>
      <c r="K624" s="20">
        <v>79.900000000000006</v>
      </c>
      <c r="L624">
        <f ca="1">TRUNC((TODAY()-tBase[[#This Row],[Data Nascimento]])/365)</f>
        <v>44</v>
      </c>
      <c r="M624" t="str">
        <f ca="1">HLOOKUP(tBase[[#This Row],[Idade]],$O$3:$R$4,2,TRUE)</f>
        <v>44 - 54</v>
      </c>
    </row>
    <row r="625" spans="2:13">
      <c r="B625" s="19">
        <v>71434327238</v>
      </c>
      <c r="C625" t="s">
        <v>352</v>
      </c>
      <c r="D625" t="s">
        <v>6</v>
      </c>
      <c r="E625" t="s">
        <v>8</v>
      </c>
      <c r="F625" t="s">
        <v>14</v>
      </c>
      <c r="G625" t="s">
        <v>425</v>
      </c>
      <c r="H625" s="1">
        <v>32926</v>
      </c>
      <c r="I625" s="1" t="s">
        <v>432</v>
      </c>
      <c r="J625" t="s">
        <v>453</v>
      </c>
      <c r="K625" s="20">
        <v>29.9</v>
      </c>
      <c r="L625">
        <f ca="1">TRUNC((TODAY()-tBase[[#This Row],[Data Nascimento]])/365)</f>
        <v>35</v>
      </c>
      <c r="M625" t="str">
        <f ca="1">HLOOKUP(tBase[[#This Row],[Idade]],$O$3:$R$4,2,TRUE)</f>
        <v>35 - 44</v>
      </c>
    </row>
    <row r="626" spans="2:13">
      <c r="B626" s="19">
        <v>71472265989</v>
      </c>
      <c r="C626" t="s">
        <v>360</v>
      </c>
      <c r="D626" t="s">
        <v>6</v>
      </c>
      <c r="E626" t="s">
        <v>7</v>
      </c>
      <c r="F626" t="s">
        <v>13</v>
      </c>
      <c r="G626" t="s">
        <v>426</v>
      </c>
      <c r="H626" s="1">
        <v>29626</v>
      </c>
      <c r="I626" s="1" t="s">
        <v>436</v>
      </c>
      <c r="J626" t="s">
        <v>454</v>
      </c>
      <c r="K626" s="20">
        <v>35.9</v>
      </c>
      <c r="L626">
        <f ca="1">TRUNC((TODAY()-tBase[[#This Row],[Data Nascimento]])/365)</f>
        <v>45</v>
      </c>
      <c r="M626" t="str">
        <f ca="1">HLOOKUP(tBase[[#This Row],[Idade]],$O$3:$R$4,2,TRUE)</f>
        <v>44 - 54</v>
      </c>
    </row>
    <row r="627" spans="2:13">
      <c r="B627" s="19">
        <v>71629613903</v>
      </c>
      <c r="C627" t="s">
        <v>101</v>
      </c>
      <c r="D627" t="s">
        <v>6</v>
      </c>
      <c r="E627" t="s">
        <v>417</v>
      </c>
      <c r="F627" t="s">
        <v>427</v>
      </c>
      <c r="G627" t="s">
        <v>425</v>
      </c>
      <c r="H627" s="1">
        <v>36489</v>
      </c>
      <c r="I627" s="1" t="s">
        <v>436</v>
      </c>
      <c r="J627" t="s">
        <v>454</v>
      </c>
      <c r="K627" s="20">
        <v>35.9</v>
      </c>
      <c r="L627">
        <f ca="1">TRUNC((TODAY()-tBase[[#This Row],[Data Nascimento]])/365)</f>
        <v>26</v>
      </c>
      <c r="M627" t="str">
        <f ca="1">HLOOKUP(tBase[[#This Row],[Idade]],$O$3:$R$4,2,TRUE)</f>
        <v>24-34</v>
      </c>
    </row>
    <row r="628" spans="2:13">
      <c r="B628" s="19">
        <v>71989553091</v>
      </c>
      <c r="C628" t="s">
        <v>61</v>
      </c>
      <c r="D628" t="s">
        <v>6</v>
      </c>
      <c r="E628" t="s">
        <v>417</v>
      </c>
      <c r="F628" t="s">
        <v>427</v>
      </c>
      <c r="G628" t="s">
        <v>425</v>
      </c>
      <c r="H628" s="1">
        <v>23510</v>
      </c>
      <c r="I628" s="1" t="s">
        <v>436</v>
      </c>
      <c r="J628" t="s">
        <v>454</v>
      </c>
      <c r="K628" s="20">
        <v>35.9</v>
      </c>
      <c r="L628">
        <f ca="1">TRUNC((TODAY()-tBase[[#This Row],[Data Nascimento]])/365)</f>
        <v>61</v>
      </c>
      <c r="M628" t="str">
        <f ca="1">HLOOKUP(tBase[[#This Row],[Idade]],$O$3:$R$4,2,TRUE)</f>
        <v>54-70</v>
      </c>
    </row>
    <row r="629" spans="2:13">
      <c r="B629" s="19">
        <v>72103743000</v>
      </c>
      <c r="C629" t="s">
        <v>397</v>
      </c>
      <c r="D629" t="s">
        <v>6</v>
      </c>
      <c r="E629" t="s">
        <v>418</v>
      </c>
      <c r="F629" t="s">
        <v>427</v>
      </c>
      <c r="G629" t="s">
        <v>425</v>
      </c>
      <c r="H629" s="1">
        <v>28236</v>
      </c>
      <c r="I629" s="1" t="s">
        <v>436</v>
      </c>
      <c r="J629" t="s">
        <v>454</v>
      </c>
      <c r="K629" s="20">
        <v>35.9</v>
      </c>
      <c r="L629">
        <f ca="1">TRUNC((TODAY()-tBase[[#This Row],[Data Nascimento]])/365)</f>
        <v>48</v>
      </c>
      <c r="M629" t="str">
        <f ca="1">HLOOKUP(tBase[[#This Row],[Idade]],$O$3:$R$4,2,TRUE)</f>
        <v>44 - 54</v>
      </c>
    </row>
    <row r="630" spans="2:13">
      <c r="B630" s="19">
        <v>72578545172</v>
      </c>
      <c r="C630" t="s">
        <v>22</v>
      </c>
      <c r="D630" t="s">
        <v>5</v>
      </c>
      <c r="E630" t="s">
        <v>8</v>
      </c>
      <c r="F630" t="s">
        <v>427</v>
      </c>
      <c r="G630" t="s">
        <v>424</v>
      </c>
      <c r="H630" s="1">
        <v>29784</v>
      </c>
      <c r="I630" s="1" t="s">
        <v>436</v>
      </c>
      <c r="J630" t="s">
        <v>453</v>
      </c>
      <c r="K630" s="20">
        <v>29.9</v>
      </c>
      <c r="L630">
        <f ca="1">TRUNC((TODAY()-tBase[[#This Row],[Data Nascimento]])/365)</f>
        <v>44</v>
      </c>
      <c r="M630" t="str">
        <f ca="1">HLOOKUP(tBase[[#This Row],[Idade]],$O$3:$R$4,2,TRUE)</f>
        <v>44 - 54</v>
      </c>
    </row>
    <row r="631" spans="2:13">
      <c r="B631" s="19">
        <v>72653571309</v>
      </c>
      <c r="C631" t="s">
        <v>269</v>
      </c>
      <c r="D631" t="s">
        <v>6</v>
      </c>
      <c r="E631" t="s">
        <v>418</v>
      </c>
      <c r="F631" t="s">
        <v>427</v>
      </c>
      <c r="G631" t="s">
        <v>426</v>
      </c>
      <c r="H631" s="1">
        <v>22002</v>
      </c>
      <c r="I631" s="1" t="s">
        <v>436</v>
      </c>
      <c r="J631" t="s">
        <v>454</v>
      </c>
      <c r="K631" s="20">
        <v>35.9</v>
      </c>
      <c r="L631">
        <f ca="1">TRUNC((TODAY()-tBase[[#This Row],[Data Nascimento]])/365)</f>
        <v>65</v>
      </c>
      <c r="M631" t="str">
        <f ca="1">HLOOKUP(tBase[[#This Row],[Idade]],$O$3:$R$4,2,TRUE)</f>
        <v>54-70</v>
      </c>
    </row>
    <row r="632" spans="2:13">
      <c r="B632" s="19">
        <v>72680945462</v>
      </c>
      <c r="C632" t="s">
        <v>260</v>
      </c>
      <c r="D632" t="s">
        <v>6</v>
      </c>
      <c r="E632" t="s">
        <v>7</v>
      </c>
      <c r="F632" t="s">
        <v>13</v>
      </c>
      <c r="G632" t="s">
        <v>425</v>
      </c>
      <c r="H632" s="1">
        <v>33338</v>
      </c>
      <c r="I632" s="1" t="s">
        <v>435</v>
      </c>
      <c r="J632" t="s">
        <v>455</v>
      </c>
      <c r="K632" s="20">
        <v>9.9</v>
      </c>
      <c r="L632">
        <f ca="1">TRUNC((TODAY()-tBase[[#This Row],[Data Nascimento]])/365)</f>
        <v>34</v>
      </c>
      <c r="M632" t="str">
        <f ca="1">HLOOKUP(tBase[[#This Row],[Idade]],$O$3:$R$4,2,TRUE)</f>
        <v>24-34</v>
      </c>
    </row>
    <row r="633" spans="2:13">
      <c r="B633" s="19">
        <v>72766768810</v>
      </c>
      <c r="C633" t="s">
        <v>359</v>
      </c>
      <c r="D633" t="s">
        <v>5</v>
      </c>
      <c r="E633" t="s">
        <v>8</v>
      </c>
      <c r="F633" t="s">
        <v>427</v>
      </c>
      <c r="G633" t="s">
        <v>425</v>
      </c>
      <c r="H633" s="1">
        <v>30214</v>
      </c>
      <c r="I633" s="1" t="s">
        <v>433</v>
      </c>
      <c r="J633" t="s">
        <v>453</v>
      </c>
      <c r="K633" s="20">
        <v>29.9</v>
      </c>
      <c r="L633">
        <f ca="1">TRUNC((TODAY()-tBase[[#This Row],[Data Nascimento]])/365)</f>
        <v>43</v>
      </c>
      <c r="M633" t="str">
        <f ca="1">HLOOKUP(tBase[[#This Row],[Idade]],$O$3:$R$4,2,TRUE)</f>
        <v>35 - 44</v>
      </c>
    </row>
    <row r="634" spans="2:13">
      <c r="B634" s="19">
        <v>72900858413</v>
      </c>
      <c r="C634" t="s">
        <v>268</v>
      </c>
      <c r="D634" t="s">
        <v>6</v>
      </c>
      <c r="E634" t="s">
        <v>416</v>
      </c>
      <c r="F634" t="s">
        <v>14</v>
      </c>
      <c r="G634" t="s">
        <v>425</v>
      </c>
      <c r="H634" s="1">
        <v>29873</v>
      </c>
      <c r="I634" s="1" t="s">
        <v>433</v>
      </c>
      <c r="J634" t="s">
        <v>453</v>
      </c>
      <c r="K634" s="20">
        <v>29.9</v>
      </c>
      <c r="L634">
        <f ca="1">TRUNC((TODAY()-tBase[[#This Row],[Data Nascimento]])/365)</f>
        <v>44</v>
      </c>
      <c r="M634" t="str">
        <f ca="1">HLOOKUP(tBase[[#This Row],[Idade]],$O$3:$R$4,2,TRUE)</f>
        <v>44 - 54</v>
      </c>
    </row>
    <row r="635" spans="2:13">
      <c r="B635" s="19">
        <v>73430417324</v>
      </c>
      <c r="C635" t="s">
        <v>167</v>
      </c>
      <c r="D635" t="s">
        <v>6</v>
      </c>
      <c r="E635" t="s">
        <v>7</v>
      </c>
      <c r="F635" t="s">
        <v>427</v>
      </c>
      <c r="G635" t="s">
        <v>425</v>
      </c>
      <c r="H635" s="1">
        <v>29967</v>
      </c>
      <c r="I635" s="1" t="s">
        <v>433</v>
      </c>
      <c r="J635" t="s">
        <v>453</v>
      </c>
      <c r="K635" s="20">
        <v>29.9</v>
      </c>
      <c r="L635">
        <f ca="1">TRUNC((TODAY()-tBase[[#This Row],[Data Nascimento]])/365)</f>
        <v>44</v>
      </c>
      <c r="M635" t="str">
        <f ca="1">HLOOKUP(tBase[[#This Row],[Idade]],$O$3:$R$4,2,TRUE)</f>
        <v>44 - 54</v>
      </c>
    </row>
    <row r="636" spans="2:13">
      <c r="B636" s="19">
        <v>73629904035</v>
      </c>
      <c r="C636" t="s">
        <v>281</v>
      </c>
      <c r="D636" t="s">
        <v>5</v>
      </c>
      <c r="E636" t="s">
        <v>417</v>
      </c>
      <c r="F636" t="s">
        <v>427</v>
      </c>
      <c r="G636" t="s">
        <v>425</v>
      </c>
      <c r="H636" s="1">
        <v>30490</v>
      </c>
      <c r="I636" s="1" t="s">
        <v>433</v>
      </c>
      <c r="J636" t="s">
        <v>454</v>
      </c>
      <c r="K636" s="20">
        <v>35.9</v>
      </c>
      <c r="L636">
        <f ca="1">TRUNC((TODAY()-tBase[[#This Row],[Data Nascimento]])/365)</f>
        <v>42</v>
      </c>
      <c r="M636" t="str">
        <f ca="1">HLOOKUP(tBase[[#This Row],[Idade]],$O$3:$R$4,2,TRUE)</f>
        <v>35 - 44</v>
      </c>
    </row>
    <row r="637" spans="2:13">
      <c r="B637" s="19">
        <v>73925142939</v>
      </c>
      <c r="C637" t="s">
        <v>102</v>
      </c>
      <c r="D637" t="s">
        <v>6</v>
      </c>
      <c r="E637" t="s">
        <v>8</v>
      </c>
      <c r="F637" t="s">
        <v>11</v>
      </c>
      <c r="G637" t="s">
        <v>424</v>
      </c>
      <c r="H637" s="1">
        <v>35640</v>
      </c>
      <c r="I637" s="1" t="s">
        <v>433</v>
      </c>
      <c r="J637" t="s">
        <v>456</v>
      </c>
      <c r="K637" s="20">
        <v>79.900000000000006</v>
      </c>
      <c r="L637">
        <f ca="1">TRUNC((TODAY()-tBase[[#This Row],[Data Nascimento]])/365)</f>
        <v>28</v>
      </c>
      <c r="M637" t="str">
        <f ca="1">HLOOKUP(tBase[[#This Row],[Idade]],$O$3:$R$4,2,TRUE)</f>
        <v>24-34</v>
      </c>
    </row>
    <row r="638" spans="2:13">
      <c r="B638" s="19">
        <v>73947215075</v>
      </c>
      <c r="C638" t="s">
        <v>55</v>
      </c>
      <c r="D638" t="s">
        <v>6</v>
      </c>
      <c r="E638" t="s">
        <v>417</v>
      </c>
      <c r="F638" t="s">
        <v>12</v>
      </c>
      <c r="G638" t="s">
        <v>425</v>
      </c>
      <c r="H638" s="1">
        <v>27917</v>
      </c>
      <c r="I638" s="1" t="s">
        <v>430</v>
      </c>
      <c r="J638" t="s">
        <v>456</v>
      </c>
      <c r="K638" s="20">
        <v>79.900000000000006</v>
      </c>
      <c r="L638">
        <f ca="1">TRUNC((TODAY()-tBase[[#This Row],[Data Nascimento]])/365)</f>
        <v>49</v>
      </c>
      <c r="M638" t="str">
        <f ca="1">HLOOKUP(tBase[[#This Row],[Idade]],$O$3:$R$4,2,TRUE)</f>
        <v>44 - 54</v>
      </c>
    </row>
    <row r="639" spans="2:13">
      <c r="B639" s="19">
        <v>74365444411</v>
      </c>
      <c r="C639" t="s">
        <v>399</v>
      </c>
      <c r="D639" t="s">
        <v>6</v>
      </c>
      <c r="E639" t="s">
        <v>8</v>
      </c>
      <c r="F639" t="s">
        <v>9</v>
      </c>
      <c r="G639" t="s">
        <v>425</v>
      </c>
      <c r="H639" s="1">
        <v>24800</v>
      </c>
      <c r="I639" s="1" t="s">
        <v>429</v>
      </c>
      <c r="J639" t="s">
        <v>455</v>
      </c>
      <c r="K639" s="20">
        <v>9.9</v>
      </c>
      <c r="L639">
        <f ca="1">TRUNC((TODAY()-tBase[[#This Row],[Data Nascimento]])/365)</f>
        <v>58</v>
      </c>
      <c r="M639" t="str">
        <f ca="1">HLOOKUP(tBase[[#This Row],[Idade]],$O$3:$R$4,2,TRUE)</f>
        <v>54-70</v>
      </c>
    </row>
    <row r="640" spans="2:13">
      <c r="B640" s="19">
        <v>74394995473</v>
      </c>
      <c r="C640" t="s">
        <v>124</v>
      </c>
      <c r="D640" t="s">
        <v>6</v>
      </c>
      <c r="E640" t="s">
        <v>418</v>
      </c>
      <c r="F640" t="s">
        <v>14</v>
      </c>
      <c r="G640" t="s">
        <v>425</v>
      </c>
      <c r="H640" s="1">
        <v>30751</v>
      </c>
      <c r="I640" s="1" t="s">
        <v>431</v>
      </c>
      <c r="J640" t="s">
        <v>453</v>
      </c>
      <c r="K640" s="20">
        <v>29.9</v>
      </c>
      <c r="L640">
        <f ca="1">TRUNC((TODAY()-tBase[[#This Row],[Data Nascimento]])/365)</f>
        <v>41</v>
      </c>
      <c r="M640" t="str">
        <f ca="1">HLOOKUP(tBase[[#This Row],[Idade]],$O$3:$R$4,2,TRUE)</f>
        <v>35 - 44</v>
      </c>
    </row>
    <row r="641" spans="2:13">
      <c r="B641" s="19">
        <v>74716763098</v>
      </c>
      <c r="C641" t="s">
        <v>88</v>
      </c>
      <c r="D641" t="s">
        <v>5</v>
      </c>
      <c r="E641" t="s">
        <v>416</v>
      </c>
      <c r="F641" t="s">
        <v>14</v>
      </c>
      <c r="G641" t="s">
        <v>425</v>
      </c>
      <c r="H641" s="1">
        <v>28008</v>
      </c>
      <c r="I641" s="1" t="s">
        <v>432</v>
      </c>
      <c r="J641" t="s">
        <v>455</v>
      </c>
      <c r="K641" s="20">
        <v>9.9</v>
      </c>
      <c r="L641">
        <f ca="1">TRUNC((TODAY()-tBase[[#This Row],[Data Nascimento]])/365)</f>
        <v>49</v>
      </c>
      <c r="M641" t="str">
        <f ca="1">HLOOKUP(tBase[[#This Row],[Idade]],$O$3:$R$4,2,TRUE)</f>
        <v>44 - 54</v>
      </c>
    </row>
    <row r="642" spans="2:13">
      <c r="B642" s="19">
        <v>75105956259</v>
      </c>
      <c r="C642" t="s">
        <v>78</v>
      </c>
      <c r="D642" t="s">
        <v>5</v>
      </c>
      <c r="E642" t="s">
        <v>417</v>
      </c>
      <c r="F642" t="s">
        <v>11</v>
      </c>
      <c r="G642" t="s">
        <v>426</v>
      </c>
      <c r="H642" s="1">
        <v>34394</v>
      </c>
      <c r="I642" s="1" t="s">
        <v>434</v>
      </c>
      <c r="J642" t="s">
        <v>456</v>
      </c>
      <c r="K642" s="20">
        <v>79.900000000000006</v>
      </c>
      <c r="L642">
        <f ca="1">TRUNC((TODAY()-tBase[[#This Row],[Data Nascimento]])/365)</f>
        <v>31</v>
      </c>
      <c r="M642" t="str">
        <f ca="1">HLOOKUP(tBase[[#This Row],[Idade]],$O$3:$R$4,2,TRUE)</f>
        <v>24-34</v>
      </c>
    </row>
    <row r="643" spans="2:13">
      <c r="B643" s="19">
        <v>75196774664</v>
      </c>
      <c r="C643" t="s">
        <v>145</v>
      </c>
      <c r="D643" t="s">
        <v>6</v>
      </c>
      <c r="E643" t="s">
        <v>7</v>
      </c>
      <c r="F643" t="s">
        <v>12</v>
      </c>
      <c r="G643" t="s">
        <v>425</v>
      </c>
      <c r="H643" s="1">
        <v>22207</v>
      </c>
      <c r="I643" s="1" t="s">
        <v>430</v>
      </c>
      <c r="J643" t="s">
        <v>454</v>
      </c>
      <c r="K643" s="20">
        <v>35.9</v>
      </c>
      <c r="L643">
        <f ca="1">TRUNC((TODAY()-tBase[[#This Row],[Data Nascimento]])/365)</f>
        <v>65</v>
      </c>
      <c r="M643" t="str">
        <f ca="1">HLOOKUP(tBase[[#This Row],[Idade]],$O$3:$R$4,2,TRUE)</f>
        <v>54-70</v>
      </c>
    </row>
    <row r="644" spans="2:13">
      <c r="B644" s="19">
        <v>75490586916</v>
      </c>
      <c r="C644" t="s">
        <v>138</v>
      </c>
      <c r="D644" t="s">
        <v>6</v>
      </c>
      <c r="E644" t="s">
        <v>417</v>
      </c>
      <c r="F644" t="s">
        <v>11</v>
      </c>
      <c r="G644" t="s">
        <v>426</v>
      </c>
      <c r="H644" s="1">
        <v>32641</v>
      </c>
      <c r="I644" s="1" t="s">
        <v>435</v>
      </c>
      <c r="J644" t="s">
        <v>456</v>
      </c>
      <c r="K644" s="20">
        <v>79.900000000000006</v>
      </c>
      <c r="L644">
        <f ca="1">TRUNC((TODAY()-tBase[[#This Row],[Data Nascimento]])/365)</f>
        <v>36</v>
      </c>
      <c r="M644" t="str">
        <f ca="1">HLOOKUP(tBase[[#This Row],[Idade]],$O$3:$R$4,2,TRUE)</f>
        <v>35 - 44</v>
      </c>
    </row>
    <row r="645" spans="2:13">
      <c r="B645" s="19">
        <v>75500284653</v>
      </c>
      <c r="C645" t="s">
        <v>25</v>
      </c>
      <c r="D645" t="s">
        <v>6</v>
      </c>
      <c r="E645" t="s">
        <v>7</v>
      </c>
      <c r="F645" t="s">
        <v>12</v>
      </c>
      <c r="G645" t="s">
        <v>425</v>
      </c>
      <c r="H645" s="1">
        <v>26262</v>
      </c>
      <c r="I645" s="1" t="s">
        <v>436</v>
      </c>
      <c r="J645" t="s">
        <v>454</v>
      </c>
      <c r="K645" s="20">
        <v>35.9</v>
      </c>
      <c r="L645">
        <f ca="1">TRUNC((TODAY()-tBase[[#This Row],[Data Nascimento]])/365)</f>
        <v>54</v>
      </c>
      <c r="M645" t="str">
        <f ca="1">HLOOKUP(tBase[[#This Row],[Idade]],$O$3:$R$4,2,TRUE)</f>
        <v>54-70</v>
      </c>
    </row>
    <row r="646" spans="2:13">
      <c r="B646" s="19">
        <v>75640893297</v>
      </c>
      <c r="C646" t="s">
        <v>44</v>
      </c>
      <c r="D646" t="s">
        <v>5</v>
      </c>
      <c r="E646" t="s">
        <v>418</v>
      </c>
      <c r="F646" t="s">
        <v>13</v>
      </c>
      <c r="G646" t="s">
        <v>425</v>
      </c>
      <c r="H646" s="1">
        <v>25154</v>
      </c>
      <c r="I646" s="1" t="s">
        <v>430</v>
      </c>
      <c r="J646" t="s">
        <v>455</v>
      </c>
      <c r="K646" s="20">
        <v>9.9</v>
      </c>
      <c r="L646">
        <f ca="1">TRUNC((TODAY()-tBase[[#This Row],[Data Nascimento]])/365)</f>
        <v>57</v>
      </c>
      <c r="M646" t="str">
        <f ca="1">HLOOKUP(tBase[[#This Row],[Idade]],$O$3:$R$4,2,TRUE)</f>
        <v>54-70</v>
      </c>
    </row>
    <row r="647" spans="2:13">
      <c r="B647" s="19">
        <v>75647720892</v>
      </c>
      <c r="C647" t="s">
        <v>51</v>
      </c>
      <c r="D647" t="s">
        <v>6</v>
      </c>
      <c r="E647" t="s">
        <v>416</v>
      </c>
      <c r="F647" t="s">
        <v>9</v>
      </c>
      <c r="G647" t="s">
        <v>424</v>
      </c>
      <c r="H647" s="1">
        <v>27153</v>
      </c>
      <c r="I647" s="1" t="s">
        <v>435</v>
      </c>
      <c r="J647" t="s">
        <v>455</v>
      </c>
      <c r="K647" s="20">
        <v>9.9</v>
      </c>
      <c r="L647">
        <f ca="1">TRUNC((TODAY()-tBase[[#This Row],[Data Nascimento]])/365)</f>
        <v>51</v>
      </c>
      <c r="M647" t="str">
        <f ca="1">HLOOKUP(tBase[[#This Row],[Idade]],$O$3:$R$4,2,TRUE)</f>
        <v>44 - 54</v>
      </c>
    </row>
    <row r="648" spans="2:13">
      <c r="B648" s="19">
        <v>75720068227</v>
      </c>
      <c r="C648" t="s">
        <v>299</v>
      </c>
      <c r="D648" t="s">
        <v>5</v>
      </c>
      <c r="E648" t="s">
        <v>8</v>
      </c>
      <c r="F648" t="s">
        <v>13</v>
      </c>
      <c r="G648" t="s">
        <v>426</v>
      </c>
      <c r="H648" s="1">
        <v>32329</v>
      </c>
      <c r="I648" s="1" t="s">
        <v>436</v>
      </c>
      <c r="J648" t="s">
        <v>453</v>
      </c>
      <c r="K648" s="20">
        <v>29.9</v>
      </c>
      <c r="L648">
        <f ca="1">TRUNC((TODAY()-tBase[[#This Row],[Data Nascimento]])/365)</f>
        <v>37</v>
      </c>
      <c r="M648" t="str">
        <f ca="1">HLOOKUP(tBase[[#This Row],[Idade]],$O$3:$R$4,2,TRUE)</f>
        <v>35 - 44</v>
      </c>
    </row>
    <row r="649" spans="2:13">
      <c r="B649" s="19">
        <v>75883715598</v>
      </c>
      <c r="C649" t="s">
        <v>339</v>
      </c>
      <c r="D649" t="s">
        <v>6</v>
      </c>
      <c r="E649" t="s">
        <v>8</v>
      </c>
      <c r="F649" t="s">
        <v>9</v>
      </c>
      <c r="G649" t="s">
        <v>426</v>
      </c>
      <c r="H649" s="1">
        <v>22867</v>
      </c>
      <c r="I649" s="1" t="s">
        <v>433</v>
      </c>
      <c r="J649" t="s">
        <v>455</v>
      </c>
      <c r="K649" s="20">
        <v>9.9</v>
      </c>
      <c r="L649">
        <f ca="1">TRUNC((TODAY()-tBase[[#This Row],[Data Nascimento]])/365)</f>
        <v>63</v>
      </c>
      <c r="M649" t="str">
        <f ca="1">HLOOKUP(tBase[[#This Row],[Idade]],$O$3:$R$4,2,TRUE)</f>
        <v>54-70</v>
      </c>
    </row>
    <row r="650" spans="2:13">
      <c r="B650" s="19">
        <v>75886580216</v>
      </c>
      <c r="C650" t="s">
        <v>132</v>
      </c>
      <c r="D650" t="s">
        <v>6</v>
      </c>
      <c r="E650" t="s">
        <v>8</v>
      </c>
      <c r="F650" t="s">
        <v>13</v>
      </c>
      <c r="G650" t="s">
        <v>425</v>
      </c>
      <c r="H650" s="1">
        <v>27289</v>
      </c>
      <c r="I650" s="1" t="s">
        <v>433</v>
      </c>
      <c r="J650" t="s">
        <v>455</v>
      </c>
      <c r="K650" s="20">
        <v>9.9</v>
      </c>
      <c r="L650">
        <f ca="1">TRUNC((TODAY()-tBase[[#This Row],[Data Nascimento]])/365)</f>
        <v>51</v>
      </c>
      <c r="M650" t="str">
        <f ca="1">HLOOKUP(tBase[[#This Row],[Idade]],$O$3:$R$4,2,TRUE)</f>
        <v>44 - 54</v>
      </c>
    </row>
    <row r="651" spans="2:13">
      <c r="B651" s="19">
        <v>76227666348</v>
      </c>
      <c r="C651" t="s">
        <v>196</v>
      </c>
      <c r="D651" t="s">
        <v>5</v>
      </c>
      <c r="E651" t="s">
        <v>7</v>
      </c>
      <c r="F651" t="s">
        <v>14</v>
      </c>
      <c r="G651" t="s">
        <v>426</v>
      </c>
      <c r="H651" s="1">
        <v>33621</v>
      </c>
      <c r="I651" s="1" t="s">
        <v>433</v>
      </c>
      <c r="J651" t="s">
        <v>453</v>
      </c>
      <c r="K651" s="20">
        <v>29.9</v>
      </c>
      <c r="L651">
        <f ca="1">TRUNC((TODAY()-tBase[[#This Row],[Data Nascimento]])/365)</f>
        <v>34</v>
      </c>
      <c r="M651" t="str">
        <f ca="1">HLOOKUP(tBase[[#This Row],[Idade]],$O$3:$R$4,2,TRUE)</f>
        <v>24-34</v>
      </c>
    </row>
    <row r="652" spans="2:13">
      <c r="B652" s="19">
        <v>76419222774</v>
      </c>
      <c r="C652" t="s">
        <v>187</v>
      </c>
      <c r="D652" t="s">
        <v>5</v>
      </c>
      <c r="E652" t="s">
        <v>7</v>
      </c>
      <c r="F652" t="s">
        <v>12</v>
      </c>
      <c r="G652" t="s">
        <v>425</v>
      </c>
      <c r="H652" s="1">
        <v>25791</v>
      </c>
      <c r="I652" s="1" t="s">
        <v>433</v>
      </c>
      <c r="J652" t="s">
        <v>455</v>
      </c>
      <c r="K652" s="20">
        <v>9.9</v>
      </c>
      <c r="L652">
        <f ca="1">TRUNC((TODAY()-tBase[[#This Row],[Data Nascimento]])/365)</f>
        <v>55</v>
      </c>
      <c r="M652" t="str">
        <f ca="1">HLOOKUP(tBase[[#This Row],[Idade]],$O$3:$R$4,2,TRUE)</f>
        <v>54-70</v>
      </c>
    </row>
    <row r="653" spans="2:13">
      <c r="B653" s="19">
        <v>76513561348</v>
      </c>
      <c r="C653" t="s">
        <v>320</v>
      </c>
      <c r="D653" t="s">
        <v>6</v>
      </c>
      <c r="E653" t="s">
        <v>7</v>
      </c>
      <c r="F653" t="s">
        <v>13</v>
      </c>
      <c r="G653" t="s">
        <v>426</v>
      </c>
      <c r="H653" s="1">
        <v>31667</v>
      </c>
      <c r="I653" s="1" t="s">
        <v>433</v>
      </c>
      <c r="J653" t="s">
        <v>453</v>
      </c>
      <c r="K653" s="20">
        <v>29.9</v>
      </c>
      <c r="L653">
        <f ca="1">TRUNC((TODAY()-tBase[[#This Row],[Data Nascimento]])/365)</f>
        <v>39</v>
      </c>
      <c r="M653" t="str">
        <f ca="1">HLOOKUP(tBase[[#This Row],[Idade]],$O$3:$R$4,2,TRUE)</f>
        <v>35 - 44</v>
      </c>
    </row>
    <row r="654" spans="2:13">
      <c r="B654" s="19">
        <v>76617239194</v>
      </c>
      <c r="C654" t="s">
        <v>80</v>
      </c>
      <c r="D654" t="s">
        <v>5</v>
      </c>
      <c r="E654" t="s">
        <v>7</v>
      </c>
      <c r="F654" t="s">
        <v>13</v>
      </c>
      <c r="G654" t="s">
        <v>426</v>
      </c>
      <c r="H654" s="1">
        <v>27199</v>
      </c>
      <c r="I654" s="1" t="s">
        <v>433</v>
      </c>
      <c r="J654" t="s">
        <v>453</v>
      </c>
      <c r="K654" s="20">
        <v>29.9</v>
      </c>
      <c r="L654">
        <f ca="1">TRUNC((TODAY()-tBase[[#This Row],[Data Nascimento]])/365)</f>
        <v>51</v>
      </c>
      <c r="M654" t="str">
        <f ca="1">HLOOKUP(tBase[[#This Row],[Idade]],$O$3:$R$4,2,TRUE)</f>
        <v>44 - 54</v>
      </c>
    </row>
    <row r="655" spans="2:13">
      <c r="B655" s="19">
        <v>76661469865</v>
      </c>
      <c r="C655" t="s">
        <v>153</v>
      </c>
      <c r="D655" t="s">
        <v>6</v>
      </c>
      <c r="E655" t="s">
        <v>7</v>
      </c>
      <c r="F655" t="s">
        <v>427</v>
      </c>
      <c r="G655" t="s">
        <v>424</v>
      </c>
      <c r="H655" s="1">
        <v>34571</v>
      </c>
      <c r="I655" s="1" t="s">
        <v>433</v>
      </c>
      <c r="J655" t="s">
        <v>455</v>
      </c>
      <c r="K655" s="20">
        <v>9.9</v>
      </c>
      <c r="L655">
        <f ca="1">TRUNC((TODAY()-tBase[[#This Row],[Data Nascimento]])/365)</f>
        <v>31</v>
      </c>
      <c r="M655" t="str">
        <f ca="1">HLOOKUP(tBase[[#This Row],[Idade]],$O$3:$R$4,2,TRUE)</f>
        <v>24-34</v>
      </c>
    </row>
    <row r="656" spans="2:13">
      <c r="B656" s="19">
        <v>76755306471</v>
      </c>
      <c r="C656" t="s">
        <v>201</v>
      </c>
      <c r="D656" t="s">
        <v>5</v>
      </c>
      <c r="E656" t="s">
        <v>417</v>
      </c>
      <c r="F656" t="s">
        <v>427</v>
      </c>
      <c r="G656" t="s">
        <v>425</v>
      </c>
      <c r="H656" s="1">
        <v>30390</v>
      </c>
      <c r="I656" s="1" t="s">
        <v>433</v>
      </c>
      <c r="J656" t="s">
        <v>455</v>
      </c>
      <c r="K656" s="20">
        <v>9.9</v>
      </c>
      <c r="L656">
        <f ca="1">TRUNC((TODAY()-tBase[[#This Row],[Data Nascimento]])/365)</f>
        <v>42</v>
      </c>
      <c r="M656" t="str">
        <f ca="1">HLOOKUP(tBase[[#This Row],[Idade]],$O$3:$R$4,2,TRUE)</f>
        <v>35 - 44</v>
      </c>
    </row>
    <row r="657" spans="2:13">
      <c r="B657" s="19">
        <v>76981963636</v>
      </c>
      <c r="C657" t="s">
        <v>337</v>
      </c>
      <c r="D657" t="s">
        <v>5</v>
      </c>
      <c r="E657" t="s">
        <v>7</v>
      </c>
      <c r="F657" t="s">
        <v>12</v>
      </c>
      <c r="G657" t="s">
        <v>425</v>
      </c>
      <c r="H657" s="1">
        <v>27662</v>
      </c>
      <c r="I657" s="1" t="s">
        <v>433</v>
      </c>
      <c r="J657" t="s">
        <v>454</v>
      </c>
      <c r="K657" s="20">
        <v>35.9</v>
      </c>
      <c r="L657">
        <f ca="1">TRUNC((TODAY()-tBase[[#This Row],[Data Nascimento]])/365)</f>
        <v>50</v>
      </c>
      <c r="M657" t="str">
        <f ca="1">HLOOKUP(tBase[[#This Row],[Idade]],$O$3:$R$4,2,TRUE)</f>
        <v>44 - 54</v>
      </c>
    </row>
    <row r="658" spans="2:13">
      <c r="B658" s="19">
        <v>77035928818</v>
      </c>
      <c r="C658" t="s">
        <v>327</v>
      </c>
      <c r="D658" t="s">
        <v>5</v>
      </c>
      <c r="E658" t="s">
        <v>7</v>
      </c>
      <c r="F658" t="s">
        <v>9</v>
      </c>
      <c r="G658" t="s">
        <v>425</v>
      </c>
      <c r="H658" s="1">
        <v>25223</v>
      </c>
      <c r="I658" s="1" t="s">
        <v>429</v>
      </c>
      <c r="J658" t="s">
        <v>453</v>
      </c>
      <c r="K658" s="20">
        <v>29.9</v>
      </c>
      <c r="L658">
        <f ca="1">TRUNC((TODAY()-tBase[[#This Row],[Data Nascimento]])/365)</f>
        <v>57</v>
      </c>
      <c r="M658" t="str">
        <f ca="1">HLOOKUP(tBase[[#This Row],[Idade]],$O$3:$R$4,2,TRUE)</f>
        <v>54-70</v>
      </c>
    </row>
    <row r="659" spans="2:13">
      <c r="B659" s="19">
        <v>77297614799</v>
      </c>
      <c r="C659" t="s">
        <v>32</v>
      </c>
      <c r="D659" t="s">
        <v>5</v>
      </c>
      <c r="E659" t="s">
        <v>8</v>
      </c>
      <c r="F659" t="s">
        <v>13</v>
      </c>
      <c r="G659" t="s">
        <v>425</v>
      </c>
      <c r="H659" s="1">
        <v>36046</v>
      </c>
      <c r="I659" s="1" t="s">
        <v>432</v>
      </c>
      <c r="J659" t="s">
        <v>453</v>
      </c>
      <c r="K659" s="20">
        <v>29.9</v>
      </c>
      <c r="L659">
        <f ca="1">TRUNC((TODAY()-tBase[[#This Row],[Data Nascimento]])/365)</f>
        <v>27</v>
      </c>
      <c r="M659" t="str">
        <f ca="1">HLOOKUP(tBase[[#This Row],[Idade]],$O$3:$R$4,2,TRUE)</f>
        <v>24-34</v>
      </c>
    </row>
    <row r="660" spans="2:13">
      <c r="B660" s="19">
        <v>77353989708</v>
      </c>
      <c r="C660" t="s">
        <v>139</v>
      </c>
      <c r="D660" t="s">
        <v>6</v>
      </c>
      <c r="E660" t="s">
        <v>8</v>
      </c>
      <c r="F660" t="s">
        <v>12</v>
      </c>
      <c r="G660" t="s">
        <v>426</v>
      </c>
      <c r="H660" s="1">
        <v>24939</v>
      </c>
      <c r="I660" s="1" t="s">
        <v>436</v>
      </c>
      <c r="J660" t="s">
        <v>455</v>
      </c>
      <c r="K660" s="20">
        <v>9.9</v>
      </c>
      <c r="L660">
        <f ca="1">TRUNC((TODAY()-tBase[[#This Row],[Data Nascimento]])/365)</f>
        <v>57</v>
      </c>
      <c r="M660" t="str">
        <f ca="1">HLOOKUP(tBase[[#This Row],[Idade]],$O$3:$R$4,2,TRUE)</f>
        <v>54-70</v>
      </c>
    </row>
    <row r="661" spans="2:13">
      <c r="B661" s="19">
        <v>77517679683</v>
      </c>
      <c r="C661" t="s">
        <v>310</v>
      </c>
      <c r="D661" t="s">
        <v>6</v>
      </c>
      <c r="E661" t="s">
        <v>7</v>
      </c>
      <c r="F661" t="s">
        <v>427</v>
      </c>
      <c r="G661" t="s">
        <v>426</v>
      </c>
      <c r="H661" s="1">
        <v>33473</v>
      </c>
      <c r="I661" s="1" t="s">
        <v>436</v>
      </c>
      <c r="J661" t="s">
        <v>453</v>
      </c>
      <c r="K661" s="20">
        <v>29.9</v>
      </c>
      <c r="L661">
        <f ca="1">TRUNC((TODAY()-tBase[[#This Row],[Data Nascimento]])/365)</f>
        <v>34</v>
      </c>
      <c r="M661" t="str">
        <f ca="1">HLOOKUP(tBase[[#This Row],[Idade]],$O$3:$R$4,2,TRUE)</f>
        <v>24-34</v>
      </c>
    </row>
    <row r="662" spans="2:13">
      <c r="B662" s="19">
        <v>77576268900</v>
      </c>
      <c r="C662" t="s">
        <v>116</v>
      </c>
      <c r="D662" t="s">
        <v>5</v>
      </c>
      <c r="E662" t="s">
        <v>7</v>
      </c>
      <c r="F662" t="s">
        <v>13</v>
      </c>
      <c r="G662" t="s">
        <v>426</v>
      </c>
      <c r="H662" s="1">
        <v>31037</v>
      </c>
      <c r="I662" s="1" t="s">
        <v>436</v>
      </c>
      <c r="J662" t="s">
        <v>455</v>
      </c>
      <c r="K662" s="20">
        <v>9.9</v>
      </c>
      <c r="L662">
        <f ca="1">TRUNC((TODAY()-tBase[[#This Row],[Data Nascimento]])/365)</f>
        <v>41</v>
      </c>
      <c r="M662" t="str">
        <f ca="1">HLOOKUP(tBase[[#This Row],[Idade]],$O$3:$R$4,2,TRUE)</f>
        <v>35 - 44</v>
      </c>
    </row>
    <row r="663" spans="2:13">
      <c r="B663" s="19">
        <v>77956710912</v>
      </c>
      <c r="C663" t="s">
        <v>322</v>
      </c>
      <c r="D663" t="s">
        <v>6</v>
      </c>
      <c r="E663" t="s">
        <v>8</v>
      </c>
      <c r="F663" t="s">
        <v>14</v>
      </c>
      <c r="G663" t="s">
        <v>424</v>
      </c>
      <c r="H663" s="1">
        <v>27183</v>
      </c>
      <c r="I663" s="1" t="s">
        <v>436</v>
      </c>
      <c r="J663" t="s">
        <v>453</v>
      </c>
      <c r="K663" s="20">
        <v>29.9</v>
      </c>
      <c r="L663">
        <f ca="1">TRUNC((TODAY()-tBase[[#This Row],[Data Nascimento]])/365)</f>
        <v>51</v>
      </c>
      <c r="M663" t="str">
        <f ca="1">HLOOKUP(tBase[[#This Row],[Idade]],$O$3:$R$4,2,TRUE)</f>
        <v>44 - 54</v>
      </c>
    </row>
    <row r="664" spans="2:13">
      <c r="B664" s="19">
        <v>78203672011</v>
      </c>
      <c r="C664" t="s">
        <v>121</v>
      </c>
      <c r="D664" t="s">
        <v>6</v>
      </c>
      <c r="E664" t="s">
        <v>417</v>
      </c>
      <c r="F664" t="s">
        <v>12</v>
      </c>
      <c r="G664" t="s">
        <v>425</v>
      </c>
      <c r="H664" s="1">
        <v>28970</v>
      </c>
      <c r="I664" s="1" t="s">
        <v>436</v>
      </c>
      <c r="J664" t="s">
        <v>454</v>
      </c>
      <c r="K664" s="20">
        <v>35.9</v>
      </c>
      <c r="L664">
        <f ca="1">TRUNC((TODAY()-tBase[[#This Row],[Data Nascimento]])/365)</f>
        <v>46</v>
      </c>
      <c r="M664" t="str">
        <f ca="1">HLOOKUP(tBase[[#This Row],[Idade]],$O$3:$R$4,2,TRUE)</f>
        <v>44 - 54</v>
      </c>
    </row>
    <row r="665" spans="2:13">
      <c r="B665" s="19">
        <v>78384232915</v>
      </c>
      <c r="C665" t="s">
        <v>117</v>
      </c>
      <c r="D665" t="s">
        <v>5</v>
      </c>
      <c r="E665" t="s">
        <v>7</v>
      </c>
      <c r="F665" t="s">
        <v>427</v>
      </c>
      <c r="G665" t="s">
        <v>425</v>
      </c>
      <c r="H665" s="1">
        <v>29800</v>
      </c>
      <c r="I665" s="1" t="s">
        <v>436</v>
      </c>
      <c r="J665" t="s">
        <v>455</v>
      </c>
      <c r="K665" s="20">
        <v>9.9</v>
      </c>
      <c r="L665">
        <f ca="1">TRUNC((TODAY()-tBase[[#This Row],[Data Nascimento]])/365)</f>
        <v>44</v>
      </c>
      <c r="M665" t="str">
        <f ca="1">HLOOKUP(tBase[[#This Row],[Idade]],$O$3:$R$4,2,TRUE)</f>
        <v>44 - 54</v>
      </c>
    </row>
    <row r="666" spans="2:13">
      <c r="B666" s="19">
        <v>78732548500</v>
      </c>
      <c r="C666" t="s">
        <v>231</v>
      </c>
      <c r="D666" t="s">
        <v>5</v>
      </c>
      <c r="E666" t="s">
        <v>417</v>
      </c>
      <c r="F666" t="s">
        <v>9</v>
      </c>
      <c r="G666" t="s">
        <v>424</v>
      </c>
      <c r="H666" s="1">
        <v>33449</v>
      </c>
      <c r="I666" s="1" t="s">
        <v>435</v>
      </c>
      <c r="J666" t="s">
        <v>453</v>
      </c>
      <c r="K666" s="20">
        <v>29.9</v>
      </c>
      <c r="L666">
        <f ca="1">TRUNC((TODAY()-tBase[[#This Row],[Data Nascimento]])/365)</f>
        <v>34</v>
      </c>
      <c r="M666" t="str">
        <f ca="1">HLOOKUP(tBase[[#This Row],[Idade]],$O$3:$R$4,2,TRUE)</f>
        <v>24-34</v>
      </c>
    </row>
    <row r="667" spans="2:13">
      <c r="B667" s="19">
        <v>78770918998</v>
      </c>
      <c r="C667" t="s">
        <v>204</v>
      </c>
      <c r="D667" t="s">
        <v>5</v>
      </c>
      <c r="E667" t="s">
        <v>418</v>
      </c>
      <c r="F667" t="s">
        <v>13</v>
      </c>
      <c r="G667" t="s">
        <v>425</v>
      </c>
      <c r="H667" s="1">
        <v>32795</v>
      </c>
      <c r="I667" s="1" t="s">
        <v>433</v>
      </c>
      <c r="J667" t="s">
        <v>455</v>
      </c>
      <c r="K667" s="20">
        <v>9.9</v>
      </c>
      <c r="L667">
        <f ca="1">TRUNC((TODAY()-tBase[[#This Row],[Data Nascimento]])/365)</f>
        <v>36</v>
      </c>
      <c r="M667" t="str">
        <f ca="1">HLOOKUP(tBase[[#This Row],[Idade]],$O$3:$R$4,2,TRUE)</f>
        <v>35 - 44</v>
      </c>
    </row>
    <row r="668" spans="2:13">
      <c r="B668" s="19">
        <v>78801671422</v>
      </c>
      <c r="C668" t="s">
        <v>58</v>
      </c>
      <c r="D668" t="s">
        <v>5</v>
      </c>
      <c r="E668" t="s">
        <v>417</v>
      </c>
      <c r="F668" t="s">
        <v>14</v>
      </c>
      <c r="G668" t="s">
        <v>426</v>
      </c>
      <c r="H668" s="1">
        <v>30804</v>
      </c>
      <c r="I668" s="1" t="s">
        <v>433</v>
      </c>
      <c r="J668" t="s">
        <v>453</v>
      </c>
      <c r="K668" s="20">
        <v>29.9</v>
      </c>
      <c r="L668">
        <f ca="1">TRUNC((TODAY()-tBase[[#This Row],[Data Nascimento]])/365)</f>
        <v>41</v>
      </c>
      <c r="M668" t="str">
        <f ca="1">HLOOKUP(tBase[[#This Row],[Idade]],$O$3:$R$4,2,TRUE)</f>
        <v>35 - 44</v>
      </c>
    </row>
    <row r="669" spans="2:13">
      <c r="B669" s="19">
        <v>78983767645</v>
      </c>
      <c r="C669" t="s">
        <v>277</v>
      </c>
      <c r="D669" t="s">
        <v>5</v>
      </c>
      <c r="E669" t="s">
        <v>7</v>
      </c>
      <c r="F669" t="s">
        <v>427</v>
      </c>
      <c r="G669" t="s">
        <v>425</v>
      </c>
      <c r="H669" s="1">
        <v>28433</v>
      </c>
      <c r="I669" s="1" t="s">
        <v>433</v>
      </c>
      <c r="J669" t="s">
        <v>454</v>
      </c>
      <c r="K669" s="20">
        <v>35.9</v>
      </c>
      <c r="L669">
        <f ca="1">TRUNC((TODAY()-tBase[[#This Row],[Data Nascimento]])/365)</f>
        <v>48</v>
      </c>
      <c r="M669" t="str">
        <f ca="1">HLOOKUP(tBase[[#This Row],[Idade]],$O$3:$R$4,2,TRUE)</f>
        <v>44 - 54</v>
      </c>
    </row>
    <row r="670" spans="2:13">
      <c r="B670" s="19">
        <v>79152697017</v>
      </c>
      <c r="C670" t="s">
        <v>323</v>
      </c>
      <c r="D670" t="s">
        <v>6</v>
      </c>
      <c r="E670" t="s">
        <v>7</v>
      </c>
      <c r="F670" t="s">
        <v>13</v>
      </c>
      <c r="G670" t="s">
        <v>424</v>
      </c>
      <c r="H670" s="1">
        <v>31815</v>
      </c>
      <c r="I670" s="1" t="s">
        <v>433</v>
      </c>
      <c r="J670" t="s">
        <v>453</v>
      </c>
      <c r="K670" s="20">
        <v>29.9</v>
      </c>
      <c r="L670">
        <f ca="1">TRUNC((TODAY()-tBase[[#This Row],[Data Nascimento]])/365)</f>
        <v>39</v>
      </c>
      <c r="M670" t="str">
        <f ca="1">HLOOKUP(tBase[[#This Row],[Idade]],$O$3:$R$4,2,TRUE)</f>
        <v>35 - 44</v>
      </c>
    </row>
    <row r="671" spans="2:13">
      <c r="B671" s="19">
        <v>79191835030</v>
      </c>
      <c r="C671" t="s">
        <v>178</v>
      </c>
      <c r="D671" t="s">
        <v>5</v>
      </c>
      <c r="E671" t="s">
        <v>417</v>
      </c>
      <c r="F671" t="s">
        <v>14</v>
      </c>
      <c r="G671" t="s">
        <v>426</v>
      </c>
      <c r="H671" s="1">
        <v>30664</v>
      </c>
      <c r="I671" s="1" t="s">
        <v>433</v>
      </c>
      <c r="J671" t="s">
        <v>453</v>
      </c>
      <c r="K671" s="20">
        <v>29.9</v>
      </c>
      <c r="L671">
        <f ca="1">TRUNC((TODAY()-tBase[[#This Row],[Data Nascimento]])/365)</f>
        <v>42</v>
      </c>
      <c r="M671" t="str">
        <f ca="1">HLOOKUP(tBase[[#This Row],[Idade]],$O$3:$R$4,2,TRUE)</f>
        <v>35 - 44</v>
      </c>
    </row>
    <row r="672" spans="2:13">
      <c r="B672" s="19">
        <v>79692046981</v>
      </c>
      <c r="C672" t="s">
        <v>17</v>
      </c>
      <c r="D672" t="s">
        <v>6</v>
      </c>
      <c r="E672" t="s">
        <v>7</v>
      </c>
      <c r="F672" t="s">
        <v>427</v>
      </c>
      <c r="G672" t="s">
        <v>425</v>
      </c>
      <c r="H672" s="1">
        <v>28052</v>
      </c>
      <c r="I672" s="1" t="s">
        <v>430</v>
      </c>
      <c r="J672" t="s">
        <v>454</v>
      </c>
      <c r="K672" s="20">
        <v>35.9</v>
      </c>
      <c r="L672">
        <f ca="1">TRUNC((TODAY()-tBase[[#This Row],[Data Nascimento]])/365)</f>
        <v>49</v>
      </c>
      <c r="M672" t="str">
        <f ca="1">HLOOKUP(tBase[[#This Row],[Idade]],$O$3:$R$4,2,TRUE)</f>
        <v>44 - 54</v>
      </c>
    </row>
    <row r="673" spans="2:13">
      <c r="B673" s="19">
        <v>80034583746</v>
      </c>
      <c r="C673" t="s">
        <v>340</v>
      </c>
      <c r="D673" t="s">
        <v>6</v>
      </c>
      <c r="E673" t="s">
        <v>7</v>
      </c>
      <c r="F673" t="s">
        <v>14</v>
      </c>
      <c r="G673" t="s">
        <v>425</v>
      </c>
      <c r="H673" s="1">
        <v>27478</v>
      </c>
      <c r="I673" s="1" t="s">
        <v>429</v>
      </c>
      <c r="J673" t="s">
        <v>453</v>
      </c>
      <c r="K673" s="20">
        <v>29.9</v>
      </c>
      <c r="L673">
        <f ca="1">TRUNC((TODAY()-tBase[[#This Row],[Data Nascimento]])/365)</f>
        <v>50</v>
      </c>
      <c r="M673" t="str">
        <f ca="1">HLOOKUP(tBase[[#This Row],[Idade]],$O$3:$R$4,2,TRUE)</f>
        <v>44 - 54</v>
      </c>
    </row>
    <row r="674" spans="2:13">
      <c r="B674" s="19">
        <v>80299981987</v>
      </c>
      <c r="C674" t="s">
        <v>40</v>
      </c>
      <c r="D674" t="s">
        <v>5</v>
      </c>
      <c r="E674" t="s">
        <v>7</v>
      </c>
      <c r="F674" t="s">
        <v>14</v>
      </c>
      <c r="G674" t="s">
        <v>426</v>
      </c>
      <c r="H674" s="1">
        <v>33791</v>
      </c>
      <c r="I674" s="1" t="s">
        <v>431</v>
      </c>
      <c r="J674" t="s">
        <v>455</v>
      </c>
      <c r="K674" s="20">
        <v>9.9</v>
      </c>
      <c r="L674">
        <f ca="1">TRUNC((TODAY()-tBase[[#This Row],[Data Nascimento]])/365)</f>
        <v>33</v>
      </c>
      <c r="M674" t="str">
        <f ca="1">HLOOKUP(tBase[[#This Row],[Idade]],$O$3:$R$4,2,TRUE)</f>
        <v>24-34</v>
      </c>
    </row>
    <row r="675" spans="2:13">
      <c r="B675" s="19">
        <v>80307995495</v>
      </c>
      <c r="C675" t="s">
        <v>223</v>
      </c>
      <c r="D675" t="s">
        <v>5</v>
      </c>
      <c r="E675" t="s">
        <v>7</v>
      </c>
      <c r="F675" t="s">
        <v>12</v>
      </c>
      <c r="G675" t="s">
        <v>424</v>
      </c>
      <c r="H675" s="1">
        <v>25398</v>
      </c>
      <c r="I675" s="1" t="s">
        <v>432</v>
      </c>
      <c r="J675" t="s">
        <v>456</v>
      </c>
      <c r="K675" s="20">
        <v>79.900000000000006</v>
      </c>
      <c r="L675">
        <f ca="1">TRUNC((TODAY()-tBase[[#This Row],[Data Nascimento]])/365)</f>
        <v>56</v>
      </c>
      <c r="M675" t="str">
        <f ca="1">HLOOKUP(tBase[[#This Row],[Idade]],$O$3:$R$4,2,TRUE)</f>
        <v>54-70</v>
      </c>
    </row>
    <row r="676" spans="2:13">
      <c r="B676" s="19">
        <v>80343263498</v>
      </c>
      <c r="C676" t="s">
        <v>41</v>
      </c>
      <c r="D676" t="s">
        <v>6</v>
      </c>
      <c r="E676" t="s">
        <v>417</v>
      </c>
      <c r="F676" t="s">
        <v>427</v>
      </c>
      <c r="G676" t="s">
        <v>425</v>
      </c>
      <c r="H676" s="1">
        <v>23254</v>
      </c>
      <c r="I676" s="1" t="s">
        <v>434</v>
      </c>
      <c r="J676" t="s">
        <v>454</v>
      </c>
      <c r="K676" s="20">
        <v>35.9</v>
      </c>
      <c r="L676">
        <f ca="1">TRUNC((TODAY()-tBase[[#This Row],[Data Nascimento]])/365)</f>
        <v>62</v>
      </c>
      <c r="M676" t="str">
        <f ca="1">HLOOKUP(tBase[[#This Row],[Idade]],$O$3:$R$4,2,TRUE)</f>
        <v>54-70</v>
      </c>
    </row>
    <row r="677" spans="2:13">
      <c r="B677" s="19">
        <v>80727883222</v>
      </c>
      <c r="C677" t="s">
        <v>343</v>
      </c>
      <c r="D677" t="s">
        <v>5</v>
      </c>
      <c r="E677" t="s">
        <v>7</v>
      </c>
      <c r="F677" t="s">
        <v>12</v>
      </c>
      <c r="G677" t="s">
        <v>424</v>
      </c>
      <c r="H677" s="1">
        <v>27726</v>
      </c>
      <c r="I677" s="1" t="s">
        <v>430</v>
      </c>
      <c r="J677" t="s">
        <v>456</v>
      </c>
      <c r="K677" s="20">
        <v>79.900000000000006</v>
      </c>
      <c r="L677">
        <f ca="1">TRUNC((TODAY()-tBase[[#This Row],[Data Nascimento]])/365)</f>
        <v>50</v>
      </c>
      <c r="M677" t="str">
        <f ca="1">HLOOKUP(tBase[[#This Row],[Idade]],$O$3:$R$4,2,TRUE)</f>
        <v>44 - 54</v>
      </c>
    </row>
    <row r="678" spans="2:13">
      <c r="B678" s="19">
        <v>80931859365</v>
      </c>
      <c r="C678" t="s">
        <v>344</v>
      </c>
      <c r="D678" t="s">
        <v>6</v>
      </c>
      <c r="E678" t="s">
        <v>417</v>
      </c>
      <c r="F678" t="s">
        <v>13</v>
      </c>
      <c r="G678" t="s">
        <v>425</v>
      </c>
      <c r="H678" s="1">
        <v>30815</v>
      </c>
      <c r="I678" s="1" t="s">
        <v>435</v>
      </c>
      <c r="J678" t="s">
        <v>453</v>
      </c>
      <c r="K678" s="20">
        <v>29.9</v>
      </c>
      <c r="L678">
        <f ca="1">TRUNC((TODAY()-tBase[[#This Row],[Data Nascimento]])/365)</f>
        <v>41</v>
      </c>
      <c r="M678" t="str">
        <f ca="1">HLOOKUP(tBase[[#This Row],[Idade]],$O$3:$R$4,2,TRUE)</f>
        <v>35 - 44</v>
      </c>
    </row>
    <row r="679" spans="2:13">
      <c r="B679" s="19">
        <v>81040031571</v>
      </c>
      <c r="C679" t="s">
        <v>382</v>
      </c>
      <c r="D679" t="s">
        <v>5</v>
      </c>
      <c r="E679" t="s">
        <v>8</v>
      </c>
      <c r="F679" t="s">
        <v>427</v>
      </c>
      <c r="G679" t="s">
        <v>424</v>
      </c>
      <c r="H679" s="1">
        <v>23396</v>
      </c>
      <c r="I679" s="1" t="s">
        <v>436</v>
      </c>
      <c r="J679" t="s">
        <v>453</v>
      </c>
      <c r="K679" s="20">
        <v>29.9</v>
      </c>
      <c r="L679">
        <f ca="1">TRUNC((TODAY()-tBase[[#This Row],[Data Nascimento]])/365)</f>
        <v>62</v>
      </c>
      <c r="M679" t="str">
        <f ca="1">HLOOKUP(tBase[[#This Row],[Idade]],$O$3:$R$4,2,TRUE)</f>
        <v>54-70</v>
      </c>
    </row>
    <row r="680" spans="2:13">
      <c r="B680" s="19">
        <v>81073311563</v>
      </c>
      <c r="C680" t="s">
        <v>123</v>
      </c>
      <c r="D680" t="s">
        <v>6</v>
      </c>
      <c r="E680" t="s">
        <v>7</v>
      </c>
      <c r="F680" t="s">
        <v>9</v>
      </c>
      <c r="G680" t="s">
        <v>424</v>
      </c>
      <c r="H680" s="1">
        <v>29499</v>
      </c>
      <c r="I680" s="1" t="s">
        <v>430</v>
      </c>
      <c r="J680" t="s">
        <v>455</v>
      </c>
      <c r="K680" s="20">
        <v>9.9</v>
      </c>
      <c r="L680">
        <f ca="1">TRUNC((TODAY()-tBase[[#This Row],[Data Nascimento]])/365)</f>
        <v>45</v>
      </c>
      <c r="M680" t="str">
        <f ca="1">HLOOKUP(tBase[[#This Row],[Idade]],$O$3:$R$4,2,TRUE)</f>
        <v>44 - 54</v>
      </c>
    </row>
    <row r="681" spans="2:13">
      <c r="B681" s="19">
        <v>81254163050</v>
      </c>
      <c r="C681" t="s">
        <v>65</v>
      </c>
      <c r="D681" t="s">
        <v>6</v>
      </c>
      <c r="E681" t="s">
        <v>7</v>
      </c>
      <c r="F681" t="s">
        <v>427</v>
      </c>
      <c r="G681" t="s">
        <v>425</v>
      </c>
      <c r="H681" s="1">
        <v>29554</v>
      </c>
      <c r="I681" s="1" t="s">
        <v>435</v>
      </c>
      <c r="J681" t="s">
        <v>454</v>
      </c>
      <c r="K681" s="20">
        <v>35.9</v>
      </c>
      <c r="L681">
        <f ca="1">TRUNC((TODAY()-tBase[[#This Row],[Data Nascimento]])/365)</f>
        <v>45</v>
      </c>
      <c r="M681" t="str">
        <f ca="1">HLOOKUP(tBase[[#This Row],[Idade]],$O$3:$R$4,2,TRUE)</f>
        <v>44 - 54</v>
      </c>
    </row>
    <row r="682" spans="2:13">
      <c r="B682" s="19">
        <v>81389193399</v>
      </c>
      <c r="C682" t="s">
        <v>155</v>
      </c>
      <c r="D682" t="s">
        <v>6</v>
      </c>
      <c r="E682" t="s">
        <v>417</v>
      </c>
      <c r="F682" t="s">
        <v>13</v>
      </c>
      <c r="G682" t="s">
        <v>425</v>
      </c>
      <c r="H682" s="1">
        <v>29115</v>
      </c>
      <c r="I682" s="1" t="s">
        <v>436</v>
      </c>
      <c r="J682" t="s">
        <v>453</v>
      </c>
      <c r="K682" s="20">
        <v>29.9</v>
      </c>
      <c r="L682">
        <f ca="1">TRUNC((TODAY()-tBase[[#This Row],[Data Nascimento]])/365)</f>
        <v>46</v>
      </c>
      <c r="M682" t="str">
        <f ca="1">HLOOKUP(tBase[[#This Row],[Idade]],$O$3:$R$4,2,TRUE)</f>
        <v>44 - 54</v>
      </c>
    </row>
    <row r="683" spans="2:13">
      <c r="B683" s="19">
        <v>81477810082</v>
      </c>
      <c r="C683" t="s">
        <v>248</v>
      </c>
      <c r="D683" t="s">
        <v>6</v>
      </c>
      <c r="E683" t="s">
        <v>416</v>
      </c>
      <c r="F683" t="s">
        <v>13</v>
      </c>
      <c r="G683" t="s">
        <v>425</v>
      </c>
      <c r="H683" s="1">
        <v>34658</v>
      </c>
      <c r="I683" s="1" t="s">
        <v>433</v>
      </c>
      <c r="J683" t="s">
        <v>453</v>
      </c>
      <c r="K683" s="20">
        <v>29.9</v>
      </c>
      <c r="L683">
        <f ca="1">TRUNC((TODAY()-tBase[[#This Row],[Data Nascimento]])/365)</f>
        <v>31</v>
      </c>
      <c r="M683" t="str">
        <f ca="1">HLOOKUP(tBase[[#This Row],[Idade]],$O$3:$R$4,2,TRUE)</f>
        <v>24-34</v>
      </c>
    </row>
    <row r="684" spans="2:13">
      <c r="B684" s="19">
        <v>81525212234</v>
      </c>
      <c r="C684" t="s">
        <v>298</v>
      </c>
      <c r="D684" t="s">
        <v>5</v>
      </c>
      <c r="E684" t="s">
        <v>417</v>
      </c>
      <c r="F684" t="s">
        <v>14</v>
      </c>
      <c r="G684" t="s">
        <v>426</v>
      </c>
      <c r="H684" s="1">
        <v>31311</v>
      </c>
      <c r="I684" s="1" t="s">
        <v>433</v>
      </c>
      <c r="J684" t="s">
        <v>453</v>
      </c>
      <c r="K684" s="20">
        <v>29.9</v>
      </c>
      <c r="L684">
        <f ca="1">TRUNC((TODAY()-tBase[[#This Row],[Data Nascimento]])/365)</f>
        <v>40</v>
      </c>
      <c r="M684" t="str">
        <f ca="1">HLOOKUP(tBase[[#This Row],[Idade]],$O$3:$R$4,2,TRUE)</f>
        <v>35 - 44</v>
      </c>
    </row>
    <row r="685" spans="2:13">
      <c r="B685" s="19">
        <v>81656115235</v>
      </c>
      <c r="C685" t="s">
        <v>358</v>
      </c>
      <c r="D685" t="s">
        <v>6</v>
      </c>
      <c r="E685" t="s">
        <v>417</v>
      </c>
      <c r="F685" t="s">
        <v>427</v>
      </c>
      <c r="G685" t="s">
        <v>426</v>
      </c>
      <c r="H685" s="1">
        <v>32752</v>
      </c>
      <c r="I685" s="1" t="s">
        <v>433</v>
      </c>
      <c r="J685" t="s">
        <v>453</v>
      </c>
      <c r="K685" s="20">
        <v>29.9</v>
      </c>
      <c r="L685">
        <f ca="1">TRUNC((TODAY()-tBase[[#This Row],[Data Nascimento]])/365)</f>
        <v>36</v>
      </c>
      <c r="M685" t="str">
        <f ca="1">HLOOKUP(tBase[[#This Row],[Idade]],$O$3:$R$4,2,TRUE)</f>
        <v>35 - 44</v>
      </c>
    </row>
    <row r="686" spans="2:13">
      <c r="B686" s="19">
        <v>81829540486</v>
      </c>
      <c r="C686" t="s">
        <v>414</v>
      </c>
      <c r="D686" t="s">
        <v>5</v>
      </c>
      <c r="E686" t="s">
        <v>417</v>
      </c>
      <c r="F686" t="s">
        <v>11</v>
      </c>
      <c r="G686" t="s">
        <v>425</v>
      </c>
      <c r="H686" s="1">
        <v>33640</v>
      </c>
      <c r="I686" s="1" t="s">
        <v>433</v>
      </c>
      <c r="J686" t="s">
        <v>456</v>
      </c>
      <c r="K686" s="20">
        <v>79.900000000000006</v>
      </c>
      <c r="L686">
        <f ca="1">TRUNC((TODAY()-tBase[[#This Row],[Data Nascimento]])/365)</f>
        <v>34</v>
      </c>
      <c r="M686" t="str">
        <f ca="1">HLOOKUP(tBase[[#This Row],[Idade]],$O$3:$R$4,2,TRUE)</f>
        <v>24-34</v>
      </c>
    </row>
    <row r="687" spans="2:13">
      <c r="B687" s="19">
        <v>81841428890</v>
      </c>
      <c r="C687" t="s">
        <v>295</v>
      </c>
      <c r="D687" t="s">
        <v>6</v>
      </c>
      <c r="E687" t="s">
        <v>417</v>
      </c>
      <c r="F687" t="s">
        <v>12</v>
      </c>
      <c r="G687" t="s">
        <v>425</v>
      </c>
      <c r="H687" s="1">
        <v>23270</v>
      </c>
      <c r="I687" s="1" t="s">
        <v>433</v>
      </c>
      <c r="J687" t="s">
        <v>456</v>
      </c>
      <c r="K687" s="20">
        <v>79.900000000000006</v>
      </c>
      <c r="L687">
        <f ca="1">TRUNC((TODAY()-tBase[[#This Row],[Data Nascimento]])/365)</f>
        <v>62</v>
      </c>
      <c r="M687" t="str">
        <f ca="1">HLOOKUP(tBase[[#This Row],[Idade]],$O$3:$R$4,2,TRUE)</f>
        <v>54-70</v>
      </c>
    </row>
    <row r="688" spans="2:13">
      <c r="B688" s="19">
        <v>81957095029</v>
      </c>
      <c r="C688" t="s">
        <v>52</v>
      </c>
      <c r="D688" t="s">
        <v>5</v>
      </c>
      <c r="E688" t="s">
        <v>8</v>
      </c>
      <c r="F688" t="s">
        <v>14</v>
      </c>
      <c r="G688" t="s">
        <v>425</v>
      </c>
      <c r="H688" s="1">
        <v>35440</v>
      </c>
      <c r="I688" s="1" t="s">
        <v>433</v>
      </c>
      <c r="J688" t="s">
        <v>453</v>
      </c>
      <c r="K688" s="20">
        <v>29.9</v>
      </c>
      <c r="L688">
        <f ca="1">TRUNC((TODAY()-tBase[[#This Row],[Data Nascimento]])/365)</f>
        <v>29</v>
      </c>
      <c r="M688" t="str">
        <f ca="1">HLOOKUP(tBase[[#This Row],[Idade]],$O$3:$R$4,2,TRUE)</f>
        <v>24-34</v>
      </c>
    </row>
    <row r="689" spans="2:13">
      <c r="B689" s="19">
        <v>81957392796</v>
      </c>
      <c r="C689" t="s">
        <v>232</v>
      </c>
      <c r="D689" t="s">
        <v>5</v>
      </c>
      <c r="E689" t="s">
        <v>8</v>
      </c>
      <c r="F689" t="s">
        <v>14</v>
      </c>
      <c r="G689" t="s">
        <v>425</v>
      </c>
      <c r="H689" s="1">
        <v>33595</v>
      </c>
      <c r="I689" s="1" t="s">
        <v>433</v>
      </c>
      <c r="J689" t="s">
        <v>455</v>
      </c>
      <c r="K689" s="20">
        <v>9.9</v>
      </c>
      <c r="L689">
        <f ca="1">TRUNC((TODAY()-tBase[[#This Row],[Data Nascimento]])/365)</f>
        <v>34</v>
      </c>
      <c r="M689" t="str">
        <f ca="1">HLOOKUP(tBase[[#This Row],[Idade]],$O$3:$R$4,2,TRUE)</f>
        <v>24-34</v>
      </c>
    </row>
    <row r="690" spans="2:13">
      <c r="B690" s="19">
        <v>81986544000</v>
      </c>
      <c r="C690" t="s">
        <v>97</v>
      </c>
      <c r="D690" t="s">
        <v>6</v>
      </c>
      <c r="E690" t="s">
        <v>7</v>
      </c>
      <c r="F690" t="s">
        <v>12</v>
      </c>
      <c r="G690" t="s">
        <v>425</v>
      </c>
      <c r="H690" s="1">
        <v>30529</v>
      </c>
      <c r="I690" s="1" t="s">
        <v>433</v>
      </c>
      <c r="J690" t="s">
        <v>454</v>
      </c>
      <c r="K690" s="20">
        <v>35.9</v>
      </c>
      <c r="L690">
        <f ca="1">TRUNC((TODAY()-tBase[[#This Row],[Data Nascimento]])/365)</f>
        <v>42</v>
      </c>
      <c r="M690" t="str">
        <f ca="1">HLOOKUP(tBase[[#This Row],[Idade]],$O$3:$R$4,2,TRUE)</f>
        <v>35 - 44</v>
      </c>
    </row>
    <row r="691" spans="2:13">
      <c r="B691" s="19">
        <v>82193403599</v>
      </c>
      <c r="C691" t="s">
        <v>113</v>
      </c>
      <c r="D691" t="s">
        <v>5</v>
      </c>
      <c r="E691" t="s">
        <v>7</v>
      </c>
      <c r="F691" t="s">
        <v>427</v>
      </c>
      <c r="G691" t="s">
        <v>424</v>
      </c>
      <c r="H691" s="1">
        <v>23366</v>
      </c>
      <c r="I691" s="1" t="s">
        <v>433</v>
      </c>
      <c r="J691" t="s">
        <v>454</v>
      </c>
      <c r="K691" s="20">
        <v>35.9</v>
      </c>
      <c r="L691">
        <f ca="1">TRUNC((TODAY()-tBase[[#This Row],[Data Nascimento]])/365)</f>
        <v>62</v>
      </c>
      <c r="M691" t="str">
        <f ca="1">HLOOKUP(tBase[[#This Row],[Idade]],$O$3:$R$4,2,TRUE)</f>
        <v>54-70</v>
      </c>
    </row>
    <row r="692" spans="2:13">
      <c r="B692" s="19">
        <v>82208515205</v>
      </c>
      <c r="C692" t="s">
        <v>73</v>
      </c>
      <c r="D692" t="s">
        <v>6</v>
      </c>
      <c r="E692" t="s">
        <v>7</v>
      </c>
      <c r="F692" t="s">
        <v>12</v>
      </c>
      <c r="G692" t="s">
        <v>424</v>
      </c>
      <c r="H692" s="1">
        <v>29738</v>
      </c>
      <c r="I692" s="1" t="s">
        <v>429</v>
      </c>
      <c r="J692" t="s">
        <v>454</v>
      </c>
      <c r="K692" s="20">
        <v>35.9</v>
      </c>
      <c r="L692">
        <f ca="1">TRUNC((TODAY()-tBase[[#This Row],[Data Nascimento]])/365)</f>
        <v>44</v>
      </c>
      <c r="M692" t="str">
        <f ca="1">HLOOKUP(tBase[[#This Row],[Idade]],$O$3:$R$4,2,TRUE)</f>
        <v>44 - 54</v>
      </c>
    </row>
    <row r="693" spans="2:13">
      <c r="B693" s="19">
        <v>82322292165</v>
      </c>
      <c r="C693" t="s">
        <v>197</v>
      </c>
      <c r="D693" t="s">
        <v>5</v>
      </c>
      <c r="E693" t="s">
        <v>7</v>
      </c>
      <c r="F693" t="s">
        <v>427</v>
      </c>
      <c r="G693" t="s">
        <v>425</v>
      </c>
      <c r="H693" s="1">
        <v>22049</v>
      </c>
      <c r="I693" s="1" t="s">
        <v>432</v>
      </c>
      <c r="J693" t="s">
        <v>454</v>
      </c>
      <c r="K693" s="20">
        <v>35.9</v>
      </c>
      <c r="L693">
        <f ca="1">TRUNC((TODAY()-tBase[[#This Row],[Data Nascimento]])/365)</f>
        <v>65</v>
      </c>
      <c r="M693" t="str">
        <f ca="1">HLOOKUP(tBase[[#This Row],[Idade]],$O$3:$R$4,2,TRUE)</f>
        <v>54-70</v>
      </c>
    </row>
    <row r="694" spans="2:13">
      <c r="B694" s="19">
        <v>82534701192</v>
      </c>
      <c r="C694" t="s">
        <v>20</v>
      </c>
      <c r="D694" t="s">
        <v>5</v>
      </c>
      <c r="E694" t="s">
        <v>7</v>
      </c>
      <c r="F694" t="s">
        <v>13</v>
      </c>
      <c r="G694" t="s">
        <v>425</v>
      </c>
      <c r="H694" s="1">
        <v>30524</v>
      </c>
      <c r="I694" s="1" t="s">
        <v>436</v>
      </c>
      <c r="J694" t="s">
        <v>455</v>
      </c>
      <c r="K694" s="20">
        <v>9.9</v>
      </c>
      <c r="L694">
        <f ca="1">TRUNC((TODAY()-tBase[[#This Row],[Data Nascimento]])/365)</f>
        <v>42</v>
      </c>
      <c r="M694" t="str">
        <f ca="1">HLOOKUP(tBase[[#This Row],[Idade]],$O$3:$R$4,2,TRUE)</f>
        <v>35 - 44</v>
      </c>
    </row>
    <row r="695" spans="2:13">
      <c r="B695" s="19">
        <v>82602952057</v>
      </c>
      <c r="C695" t="s">
        <v>83</v>
      </c>
      <c r="D695" t="s">
        <v>6</v>
      </c>
      <c r="E695" t="s">
        <v>7</v>
      </c>
      <c r="F695" t="s">
        <v>13</v>
      </c>
      <c r="G695" t="s">
        <v>424</v>
      </c>
      <c r="H695" s="1">
        <v>27484</v>
      </c>
      <c r="I695" s="1" t="s">
        <v>436</v>
      </c>
      <c r="J695" t="s">
        <v>453</v>
      </c>
      <c r="K695" s="20">
        <v>29.9</v>
      </c>
      <c r="L695">
        <f ca="1">TRUNC((TODAY()-tBase[[#This Row],[Data Nascimento]])/365)</f>
        <v>50</v>
      </c>
      <c r="M695" t="str">
        <f ca="1">HLOOKUP(tBase[[#This Row],[Idade]],$O$3:$R$4,2,TRUE)</f>
        <v>44 - 54</v>
      </c>
    </row>
    <row r="696" spans="2:13">
      <c r="B696" s="19">
        <v>82616416182</v>
      </c>
      <c r="C696" t="s">
        <v>321</v>
      </c>
      <c r="D696" t="s">
        <v>5</v>
      </c>
      <c r="E696" t="s">
        <v>417</v>
      </c>
      <c r="F696" t="s">
        <v>427</v>
      </c>
      <c r="G696" t="s">
        <v>425</v>
      </c>
      <c r="H696" s="1">
        <v>23127</v>
      </c>
      <c r="I696" s="1" t="s">
        <v>436</v>
      </c>
      <c r="J696" t="s">
        <v>455</v>
      </c>
      <c r="K696" s="20">
        <v>9.9</v>
      </c>
      <c r="L696">
        <f ca="1">TRUNC((TODAY()-tBase[[#This Row],[Data Nascimento]])/365)</f>
        <v>62</v>
      </c>
      <c r="M696" t="str">
        <f ca="1">HLOOKUP(tBase[[#This Row],[Idade]],$O$3:$R$4,2,TRUE)</f>
        <v>54-70</v>
      </c>
    </row>
    <row r="697" spans="2:13">
      <c r="B697" s="19">
        <v>82696018618</v>
      </c>
      <c r="C697" t="s">
        <v>396</v>
      </c>
      <c r="D697" t="s">
        <v>5</v>
      </c>
      <c r="E697" t="s">
        <v>7</v>
      </c>
      <c r="F697" t="s">
        <v>13</v>
      </c>
      <c r="G697" t="s">
        <v>426</v>
      </c>
      <c r="H697" s="1">
        <v>32839</v>
      </c>
      <c r="I697" s="1" t="s">
        <v>436</v>
      </c>
      <c r="J697" t="s">
        <v>455</v>
      </c>
      <c r="K697" s="20">
        <v>9.9</v>
      </c>
      <c r="L697">
        <f ca="1">TRUNC((TODAY()-tBase[[#This Row],[Data Nascimento]])/365)</f>
        <v>36</v>
      </c>
      <c r="M697" t="str">
        <f ca="1">HLOOKUP(tBase[[#This Row],[Idade]],$O$3:$R$4,2,TRUE)</f>
        <v>35 - 44</v>
      </c>
    </row>
    <row r="698" spans="2:13">
      <c r="B698" s="19">
        <v>82955592711</v>
      </c>
      <c r="C698" t="s">
        <v>243</v>
      </c>
      <c r="D698" t="s">
        <v>5</v>
      </c>
      <c r="E698" t="s">
        <v>7</v>
      </c>
      <c r="F698" t="s">
        <v>9</v>
      </c>
      <c r="G698" t="s">
        <v>424</v>
      </c>
      <c r="H698" s="1">
        <v>22832</v>
      </c>
      <c r="I698" s="1" t="s">
        <v>436</v>
      </c>
      <c r="J698" t="s">
        <v>455</v>
      </c>
      <c r="K698" s="20">
        <v>9.9</v>
      </c>
      <c r="L698">
        <f ca="1">TRUNC((TODAY()-tBase[[#This Row],[Data Nascimento]])/365)</f>
        <v>63</v>
      </c>
      <c r="M698" t="str">
        <f ca="1">HLOOKUP(tBase[[#This Row],[Idade]],$O$3:$R$4,2,TRUE)</f>
        <v>54-70</v>
      </c>
    </row>
    <row r="699" spans="2:13">
      <c r="B699" s="19">
        <v>83052449006</v>
      </c>
      <c r="C699" t="s">
        <v>157</v>
      </c>
      <c r="D699" t="s">
        <v>6</v>
      </c>
      <c r="E699" t="s">
        <v>7</v>
      </c>
      <c r="F699" t="s">
        <v>427</v>
      </c>
      <c r="G699" t="s">
        <v>425</v>
      </c>
      <c r="H699" s="1">
        <v>22607</v>
      </c>
      <c r="I699" s="1" t="s">
        <v>436</v>
      </c>
      <c r="J699" t="s">
        <v>454</v>
      </c>
      <c r="K699" s="20">
        <v>35.9</v>
      </c>
      <c r="L699">
        <f ca="1">TRUNC((TODAY()-tBase[[#This Row],[Data Nascimento]])/365)</f>
        <v>64</v>
      </c>
      <c r="M699" t="str">
        <f ca="1">HLOOKUP(tBase[[#This Row],[Idade]],$O$3:$R$4,2,TRUE)</f>
        <v>54-70</v>
      </c>
    </row>
    <row r="700" spans="2:13">
      <c r="B700" s="19">
        <v>83212266867</v>
      </c>
      <c r="C700" t="s">
        <v>294</v>
      </c>
      <c r="D700" t="s">
        <v>6</v>
      </c>
      <c r="E700" t="s">
        <v>417</v>
      </c>
      <c r="F700" t="s">
        <v>11</v>
      </c>
      <c r="G700" t="s">
        <v>425</v>
      </c>
      <c r="H700" s="1">
        <v>30196</v>
      </c>
      <c r="I700" s="1" t="s">
        <v>435</v>
      </c>
      <c r="J700" t="s">
        <v>456</v>
      </c>
      <c r="K700" s="20">
        <v>79.900000000000006</v>
      </c>
      <c r="L700">
        <f ca="1">TRUNC((TODAY()-tBase[[#This Row],[Data Nascimento]])/365)</f>
        <v>43</v>
      </c>
      <c r="M700" t="str">
        <f ca="1">HLOOKUP(tBase[[#This Row],[Idade]],$O$3:$R$4,2,TRUE)</f>
        <v>35 - 44</v>
      </c>
    </row>
    <row r="701" spans="2:13">
      <c r="B701" s="19">
        <v>83445012725</v>
      </c>
      <c r="C701" t="s">
        <v>200</v>
      </c>
      <c r="D701" t="s">
        <v>5</v>
      </c>
      <c r="E701" t="s">
        <v>7</v>
      </c>
      <c r="F701" t="s">
        <v>13</v>
      </c>
      <c r="G701" t="s">
        <v>426</v>
      </c>
      <c r="H701" s="1">
        <v>22265</v>
      </c>
      <c r="I701" s="1" t="s">
        <v>433</v>
      </c>
      <c r="J701" t="s">
        <v>453</v>
      </c>
      <c r="K701" s="20">
        <v>29.9</v>
      </c>
      <c r="L701">
        <f ca="1">TRUNC((TODAY()-tBase[[#This Row],[Data Nascimento]])/365)</f>
        <v>65</v>
      </c>
      <c r="M701" t="str">
        <f ca="1">HLOOKUP(tBase[[#This Row],[Idade]],$O$3:$R$4,2,TRUE)</f>
        <v>54-70</v>
      </c>
    </row>
    <row r="702" spans="2:13">
      <c r="B702" s="19">
        <v>83649207260</v>
      </c>
      <c r="C702" t="s">
        <v>29</v>
      </c>
      <c r="D702" t="s">
        <v>6</v>
      </c>
      <c r="E702" t="s">
        <v>8</v>
      </c>
      <c r="F702" t="s">
        <v>427</v>
      </c>
      <c r="G702" t="s">
        <v>426</v>
      </c>
      <c r="H702" s="1">
        <v>28540</v>
      </c>
      <c r="I702" s="1" t="s">
        <v>433</v>
      </c>
      <c r="J702" t="s">
        <v>454</v>
      </c>
      <c r="K702" s="20">
        <v>35.9</v>
      </c>
      <c r="L702">
        <f ca="1">TRUNC((TODAY()-tBase[[#This Row],[Data Nascimento]])/365)</f>
        <v>47</v>
      </c>
      <c r="M702" t="str">
        <f ca="1">HLOOKUP(tBase[[#This Row],[Idade]],$O$3:$R$4,2,TRUE)</f>
        <v>44 - 54</v>
      </c>
    </row>
    <row r="703" spans="2:13">
      <c r="B703" s="19">
        <v>83970499766</v>
      </c>
      <c r="C703" t="s">
        <v>222</v>
      </c>
      <c r="D703" t="s">
        <v>6</v>
      </c>
      <c r="E703" t="s">
        <v>8</v>
      </c>
      <c r="F703" t="s">
        <v>11</v>
      </c>
      <c r="G703" t="s">
        <v>424</v>
      </c>
      <c r="H703" s="1">
        <v>35538</v>
      </c>
      <c r="I703" s="1" t="s">
        <v>433</v>
      </c>
      <c r="J703" t="s">
        <v>456</v>
      </c>
      <c r="K703" s="20">
        <v>79.900000000000006</v>
      </c>
      <c r="L703">
        <f ca="1">TRUNC((TODAY()-tBase[[#This Row],[Data Nascimento]])/365)</f>
        <v>28</v>
      </c>
      <c r="M703" t="str">
        <f ca="1">HLOOKUP(tBase[[#This Row],[Idade]],$O$3:$R$4,2,TRUE)</f>
        <v>24-34</v>
      </c>
    </row>
    <row r="704" spans="2:13">
      <c r="B704" s="19">
        <v>84131868739</v>
      </c>
      <c r="C704" t="s">
        <v>175</v>
      </c>
      <c r="D704" t="s">
        <v>6</v>
      </c>
      <c r="E704" t="s">
        <v>417</v>
      </c>
      <c r="F704" t="s">
        <v>12</v>
      </c>
      <c r="G704" t="s">
        <v>425</v>
      </c>
      <c r="H704" s="1">
        <v>31946</v>
      </c>
      <c r="I704" s="1" t="s">
        <v>433</v>
      </c>
      <c r="J704" t="s">
        <v>456</v>
      </c>
      <c r="K704" s="20">
        <v>79.900000000000006</v>
      </c>
      <c r="L704">
        <f ca="1">TRUNC((TODAY()-tBase[[#This Row],[Data Nascimento]])/365)</f>
        <v>38</v>
      </c>
      <c r="M704" t="str">
        <f ca="1">HLOOKUP(tBase[[#This Row],[Idade]],$O$3:$R$4,2,TRUE)</f>
        <v>35 - 44</v>
      </c>
    </row>
    <row r="705" spans="2:13">
      <c r="B705" s="19">
        <v>84303229207</v>
      </c>
      <c r="C705" t="s">
        <v>405</v>
      </c>
      <c r="D705" t="s">
        <v>6</v>
      </c>
      <c r="E705" t="s">
        <v>7</v>
      </c>
      <c r="F705" t="s">
        <v>427</v>
      </c>
      <c r="G705" t="s">
        <v>425</v>
      </c>
      <c r="H705" s="1">
        <v>25333</v>
      </c>
      <c r="I705" s="1" t="s">
        <v>433</v>
      </c>
      <c r="J705" t="s">
        <v>455</v>
      </c>
      <c r="K705" s="20">
        <v>9.9</v>
      </c>
      <c r="L705">
        <f ca="1">TRUNC((TODAY()-tBase[[#This Row],[Data Nascimento]])/365)</f>
        <v>56</v>
      </c>
      <c r="M705" t="str">
        <f ca="1">HLOOKUP(tBase[[#This Row],[Idade]],$O$3:$R$4,2,TRUE)</f>
        <v>54-70</v>
      </c>
    </row>
    <row r="706" spans="2:13">
      <c r="B706" s="19">
        <v>84709823345</v>
      </c>
      <c r="C706" t="s">
        <v>212</v>
      </c>
      <c r="D706" t="s">
        <v>6</v>
      </c>
      <c r="E706" t="s">
        <v>8</v>
      </c>
      <c r="F706" t="s">
        <v>13</v>
      </c>
      <c r="G706" t="s">
        <v>425</v>
      </c>
      <c r="H706" s="1">
        <v>22787</v>
      </c>
      <c r="I706" s="1" t="s">
        <v>430</v>
      </c>
      <c r="J706" t="s">
        <v>455</v>
      </c>
      <c r="K706" s="20">
        <v>9.9</v>
      </c>
      <c r="L706">
        <f ca="1">TRUNC((TODAY()-tBase[[#This Row],[Data Nascimento]])/365)</f>
        <v>63</v>
      </c>
      <c r="M706" t="str">
        <f ca="1">HLOOKUP(tBase[[#This Row],[Idade]],$O$3:$R$4,2,TRUE)</f>
        <v>54-70</v>
      </c>
    </row>
    <row r="707" spans="2:13">
      <c r="B707" s="19">
        <v>84913009166</v>
      </c>
      <c r="C707" t="s">
        <v>354</v>
      </c>
      <c r="D707" t="s">
        <v>6</v>
      </c>
      <c r="E707" t="s">
        <v>417</v>
      </c>
      <c r="F707" t="s">
        <v>11</v>
      </c>
      <c r="G707" t="s">
        <v>425</v>
      </c>
      <c r="H707" s="1">
        <v>31861</v>
      </c>
      <c r="I707" s="1" t="s">
        <v>429</v>
      </c>
      <c r="J707" t="s">
        <v>456</v>
      </c>
      <c r="K707" s="20">
        <v>79.900000000000006</v>
      </c>
      <c r="L707">
        <f ca="1">TRUNC((TODAY()-tBase[[#This Row],[Data Nascimento]])/365)</f>
        <v>38</v>
      </c>
      <c r="M707" t="str">
        <f ca="1">HLOOKUP(tBase[[#This Row],[Idade]],$O$3:$R$4,2,TRUE)</f>
        <v>35 - 44</v>
      </c>
    </row>
    <row r="708" spans="2:13">
      <c r="B708" s="19">
        <v>84948080328</v>
      </c>
      <c r="C708" t="s">
        <v>257</v>
      </c>
      <c r="D708" t="s">
        <v>5</v>
      </c>
      <c r="E708" t="s">
        <v>7</v>
      </c>
      <c r="F708" t="s">
        <v>427</v>
      </c>
      <c r="G708" t="s">
        <v>425</v>
      </c>
      <c r="H708" s="1">
        <v>34275</v>
      </c>
      <c r="I708" s="1" t="s">
        <v>431</v>
      </c>
      <c r="J708" t="s">
        <v>454</v>
      </c>
      <c r="K708" s="20">
        <v>35.9</v>
      </c>
      <c r="L708">
        <f ca="1">TRUNC((TODAY()-tBase[[#This Row],[Data Nascimento]])/365)</f>
        <v>32</v>
      </c>
      <c r="M708" t="str">
        <f ca="1">HLOOKUP(tBase[[#This Row],[Idade]],$O$3:$R$4,2,TRUE)</f>
        <v>24-34</v>
      </c>
    </row>
    <row r="709" spans="2:13">
      <c r="B709" s="19">
        <v>85098405832</v>
      </c>
      <c r="C709" t="s">
        <v>331</v>
      </c>
      <c r="D709" t="s">
        <v>5</v>
      </c>
      <c r="E709" t="s">
        <v>416</v>
      </c>
      <c r="F709" t="s">
        <v>12</v>
      </c>
      <c r="G709" t="s">
        <v>424</v>
      </c>
      <c r="H709" s="1">
        <v>29566</v>
      </c>
      <c r="I709" s="1" t="s">
        <v>432</v>
      </c>
      <c r="J709" t="s">
        <v>455</v>
      </c>
      <c r="K709" s="20">
        <v>9.9</v>
      </c>
      <c r="L709">
        <f ca="1">TRUNC((TODAY()-tBase[[#This Row],[Data Nascimento]])/365)</f>
        <v>45</v>
      </c>
      <c r="M709" t="str">
        <f ca="1">HLOOKUP(tBase[[#This Row],[Idade]],$O$3:$R$4,2,TRUE)</f>
        <v>44 - 54</v>
      </c>
    </row>
    <row r="710" spans="2:13">
      <c r="B710" s="19">
        <v>85179233460</v>
      </c>
      <c r="C710" t="s">
        <v>372</v>
      </c>
      <c r="D710" t="s">
        <v>5</v>
      </c>
      <c r="E710" t="s">
        <v>8</v>
      </c>
      <c r="F710" t="s">
        <v>13</v>
      </c>
      <c r="G710" t="s">
        <v>425</v>
      </c>
      <c r="H710" s="1">
        <v>32761</v>
      </c>
      <c r="I710" s="1" t="s">
        <v>434</v>
      </c>
      <c r="J710" t="s">
        <v>455</v>
      </c>
      <c r="K710" s="20">
        <v>9.9</v>
      </c>
      <c r="L710">
        <f ca="1">TRUNC((TODAY()-tBase[[#This Row],[Data Nascimento]])/365)</f>
        <v>36</v>
      </c>
      <c r="M710" t="str">
        <f ca="1">HLOOKUP(tBase[[#This Row],[Idade]],$O$3:$R$4,2,TRUE)</f>
        <v>35 - 44</v>
      </c>
    </row>
    <row r="711" spans="2:13">
      <c r="B711" s="19">
        <v>85199827692</v>
      </c>
      <c r="C711" t="s">
        <v>245</v>
      </c>
      <c r="D711" t="s">
        <v>5</v>
      </c>
      <c r="E711" t="s">
        <v>7</v>
      </c>
      <c r="F711" t="s">
        <v>427</v>
      </c>
      <c r="G711" t="s">
        <v>425</v>
      </c>
      <c r="H711" s="1">
        <v>30960</v>
      </c>
      <c r="I711" s="1" t="s">
        <v>430</v>
      </c>
      <c r="J711" t="s">
        <v>454</v>
      </c>
      <c r="K711" s="20">
        <v>35.9</v>
      </c>
      <c r="L711">
        <f ca="1">TRUNC((TODAY()-tBase[[#This Row],[Data Nascimento]])/365)</f>
        <v>41</v>
      </c>
      <c r="M711" t="str">
        <f ca="1">HLOOKUP(tBase[[#This Row],[Idade]],$O$3:$R$4,2,TRUE)</f>
        <v>35 - 44</v>
      </c>
    </row>
    <row r="712" spans="2:13">
      <c r="B712" s="19">
        <v>85294985317</v>
      </c>
      <c r="C712" t="s">
        <v>202</v>
      </c>
      <c r="D712" t="s">
        <v>5</v>
      </c>
      <c r="E712" t="s">
        <v>8</v>
      </c>
      <c r="F712" t="s">
        <v>14</v>
      </c>
      <c r="G712" t="s">
        <v>424</v>
      </c>
      <c r="H712" s="1">
        <v>30014</v>
      </c>
      <c r="I712" s="1" t="s">
        <v>435</v>
      </c>
      <c r="J712" t="s">
        <v>453</v>
      </c>
      <c r="K712" s="20">
        <v>29.9</v>
      </c>
      <c r="L712">
        <f ca="1">TRUNC((TODAY()-tBase[[#This Row],[Data Nascimento]])/365)</f>
        <v>43</v>
      </c>
      <c r="M712" t="str">
        <f ca="1">HLOOKUP(tBase[[#This Row],[Idade]],$O$3:$R$4,2,TRUE)</f>
        <v>35 - 44</v>
      </c>
    </row>
    <row r="713" spans="2:13">
      <c r="B713" s="19">
        <v>85486291852</v>
      </c>
      <c r="C713" t="s">
        <v>355</v>
      </c>
      <c r="D713" t="s">
        <v>5</v>
      </c>
      <c r="E713" t="s">
        <v>417</v>
      </c>
      <c r="F713" t="s">
        <v>12</v>
      </c>
      <c r="G713" t="s">
        <v>425</v>
      </c>
      <c r="H713" s="1">
        <v>27488</v>
      </c>
      <c r="I713" s="1" t="s">
        <v>436</v>
      </c>
      <c r="J713" t="s">
        <v>455</v>
      </c>
      <c r="K713" s="20">
        <v>9.9</v>
      </c>
      <c r="L713">
        <f ca="1">TRUNC((TODAY()-tBase[[#This Row],[Data Nascimento]])/365)</f>
        <v>50</v>
      </c>
      <c r="M713" t="str">
        <f ca="1">HLOOKUP(tBase[[#This Row],[Idade]],$O$3:$R$4,2,TRUE)</f>
        <v>44 - 54</v>
      </c>
    </row>
    <row r="714" spans="2:13">
      <c r="B714" s="19">
        <v>85516322956</v>
      </c>
      <c r="C714" t="s">
        <v>229</v>
      </c>
      <c r="D714" t="s">
        <v>6</v>
      </c>
      <c r="E714" t="s">
        <v>8</v>
      </c>
      <c r="F714" t="s">
        <v>427</v>
      </c>
      <c r="G714" t="s">
        <v>426</v>
      </c>
      <c r="H714" s="1">
        <v>31518</v>
      </c>
      <c r="I714" s="1" t="s">
        <v>430</v>
      </c>
      <c r="J714" t="s">
        <v>454</v>
      </c>
      <c r="K714" s="20">
        <v>35.9</v>
      </c>
      <c r="L714">
        <f ca="1">TRUNC((TODAY()-tBase[[#This Row],[Data Nascimento]])/365)</f>
        <v>39</v>
      </c>
      <c r="M714" t="str">
        <f ca="1">HLOOKUP(tBase[[#This Row],[Idade]],$O$3:$R$4,2,TRUE)</f>
        <v>35 - 44</v>
      </c>
    </row>
    <row r="715" spans="2:13">
      <c r="B715" s="19">
        <v>85643949724</v>
      </c>
      <c r="C715" t="s">
        <v>99</v>
      </c>
      <c r="D715" t="s">
        <v>6</v>
      </c>
      <c r="E715" t="s">
        <v>8</v>
      </c>
      <c r="F715" t="s">
        <v>9</v>
      </c>
      <c r="G715" t="s">
        <v>426</v>
      </c>
      <c r="H715" s="1">
        <v>29776</v>
      </c>
      <c r="I715" s="1" t="s">
        <v>435</v>
      </c>
      <c r="J715" t="s">
        <v>455</v>
      </c>
      <c r="K715" s="20">
        <v>9.9</v>
      </c>
      <c r="L715">
        <f ca="1">TRUNC((TODAY()-tBase[[#This Row],[Data Nascimento]])/365)</f>
        <v>44</v>
      </c>
      <c r="M715" t="str">
        <f ca="1">HLOOKUP(tBase[[#This Row],[Idade]],$O$3:$R$4,2,TRUE)</f>
        <v>44 - 54</v>
      </c>
    </row>
    <row r="716" spans="2:13">
      <c r="B716" s="19">
        <v>85741899575</v>
      </c>
      <c r="C716" t="s">
        <v>313</v>
      </c>
      <c r="D716" t="s">
        <v>6</v>
      </c>
      <c r="E716" t="s">
        <v>7</v>
      </c>
      <c r="F716" t="s">
        <v>12</v>
      </c>
      <c r="G716" t="s">
        <v>424</v>
      </c>
      <c r="H716" s="1">
        <v>23831</v>
      </c>
      <c r="I716" s="1" t="s">
        <v>436</v>
      </c>
      <c r="J716" t="s">
        <v>454</v>
      </c>
      <c r="K716" s="20">
        <v>35.9</v>
      </c>
      <c r="L716">
        <f ca="1">TRUNC((TODAY()-tBase[[#This Row],[Data Nascimento]])/365)</f>
        <v>60</v>
      </c>
      <c r="M716" t="str">
        <f ca="1">HLOOKUP(tBase[[#This Row],[Idade]],$O$3:$R$4,2,TRUE)</f>
        <v>54-70</v>
      </c>
    </row>
    <row r="717" spans="2:13">
      <c r="B717" s="19">
        <v>85811272833</v>
      </c>
      <c r="C717" t="s">
        <v>302</v>
      </c>
      <c r="D717" t="s">
        <v>6</v>
      </c>
      <c r="E717" t="s">
        <v>8</v>
      </c>
      <c r="F717" t="s">
        <v>13</v>
      </c>
      <c r="G717" t="s">
        <v>424</v>
      </c>
      <c r="H717" s="1">
        <v>30075</v>
      </c>
      <c r="I717" s="1" t="s">
        <v>433</v>
      </c>
      <c r="J717" t="s">
        <v>455</v>
      </c>
      <c r="K717" s="20">
        <v>9.9</v>
      </c>
      <c r="L717">
        <f ca="1">TRUNC((TODAY()-tBase[[#This Row],[Data Nascimento]])/365)</f>
        <v>43</v>
      </c>
      <c r="M717" t="str">
        <f ca="1">HLOOKUP(tBase[[#This Row],[Idade]],$O$3:$R$4,2,TRUE)</f>
        <v>35 - 44</v>
      </c>
    </row>
    <row r="718" spans="2:13">
      <c r="B718" s="19">
        <v>85815028040</v>
      </c>
      <c r="C718" t="s">
        <v>119</v>
      </c>
      <c r="D718" t="s">
        <v>6</v>
      </c>
      <c r="E718" t="s">
        <v>8</v>
      </c>
      <c r="F718" t="s">
        <v>427</v>
      </c>
      <c r="G718" t="s">
        <v>425</v>
      </c>
      <c r="H718" s="1">
        <v>22683</v>
      </c>
      <c r="I718" s="1" t="s">
        <v>433</v>
      </c>
      <c r="J718" t="s">
        <v>453</v>
      </c>
      <c r="K718" s="20">
        <v>29.9</v>
      </c>
      <c r="L718">
        <f ca="1">TRUNC((TODAY()-tBase[[#This Row],[Data Nascimento]])/365)</f>
        <v>64</v>
      </c>
      <c r="M718" t="str">
        <f ca="1">HLOOKUP(tBase[[#This Row],[Idade]],$O$3:$R$4,2,TRUE)</f>
        <v>54-70</v>
      </c>
    </row>
    <row r="719" spans="2:13">
      <c r="B719" s="19">
        <v>85835308143</v>
      </c>
      <c r="C719" t="s">
        <v>362</v>
      </c>
      <c r="D719" t="s">
        <v>5</v>
      </c>
      <c r="E719" t="s">
        <v>8</v>
      </c>
      <c r="F719" t="s">
        <v>13</v>
      </c>
      <c r="G719" t="s">
        <v>424</v>
      </c>
      <c r="H719" s="1">
        <v>34414</v>
      </c>
      <c r="I719" s="1" t="s">
        <v>433</v>
      </c>
      <c r="J719" t="s">
        <v>456</v>
      </c>
      <c r="K719" s="20">
        <v>79.900000000000006</v>
      </c>
      <c r="L719">
        <f ca="1">TRUNC((TODAY()-tBase[[#This Row],[Data Nascimento]])/365)</f>
        <v>31</v>
      </c>
      <c r="M719" t="str">
        <f ca="1">HLOOKUP(tBase[[#This Row],[Idade]],$O$3:$R$4,2,TRUE)</f>
        <v>24-34</v>
      </c>
    </row>
    <row r="720" spans="2:13">
      <c r="B720" s="19">
        <v>85880197310</v>
      </c>
      <c r="C720" t="s">
        <v>181</v>
      </c>
      <c r="D720" t="s">
        <v>5</v>
      </c>
      <c r="E720" t="s">
        <v>417</v>
      </c>
      <c r="F720" t="s">
        <v>427</v>
      </c>
      <c r="G720" t="s">
        <v>425</v>
      </c>
      <c r="H720" s="1">
        <v>28279</v>
      </c>
      <c r="I720" s="1" t="s">
        <v>433</v>
      </c>
      <c r="J720" t="s">
        <v>454</v>
      </c>
      <c r="K720" s="20">
        <v>35.9</v>
      </c>
      <c r="L720">
        <f ca="1">TRUNC((TODAY()-tBase[[#This Row],[Data Nascimento]])/365)</f>
        <v>48</v>
      </c>
      <c r="M720" t="str">
        <f ca="1">HLOOKUP(tBase[[#This Row],[Idade]],$O$3:$R$4,2,TRUE)</f>
        <v>44 - 54</v>
      </c>
    </row>
    <row r="721" spans="2:13">
      <c r="B721" s="19">
        <v>86054892010</v>
      </c>
      <c r="C721" t="s">
        <v>253</v>
      </c>
      <c r="D721" t="s">
        <v>5</v>
      </c>
      <c r="E721" t="s">
        <v>7</v>
      </c>
      <c r="F721" t="s">
        <v>427</v>
      </c>
      <c r="G721" t="s">
        <v>424</v>
      </c>
      <c r="H721" s="1">
        <v>30942</v>
      </c>
      <c r="I721" s="1" t="s">
        <v>433</v>
      </c>
      <c r="J721" t="s">
        <v>454</v>
      </c>
      <c r="K721" s="20">
        <v>35.9</v>
      </c>
      <c r="L721">
        <f ca="1">TRUNC((TODAY()-tBase[[#This Row],[Data Nascimento]])/365)</f>
        <v>41</v>
      </c>
      <c r="M721" t="str">
        <f ca="1">HLOOKUP(tBase[[#This Row],[Idade]],$O$3:$R$4,2,TRUE)</f>
        <v>35 - 44</v>
      </c>
    </row>
    <row r="722" spans="2:13">
      <c r="B722" s="19">
        <v>86094864413</v>
      </c>
      <c r="C722" t="s">
        <v>71</v>
      </c>
      <c r="D722" t="s">
        <v>5</v>
      </c>
      <c r="E722" t="s">
        <v>417</v>
      </c>
      <c r="F722" t="s">
        <v>427</v>
      </c>
      <c r="G722" t="s">
        <v>424</v>
      </c>
      <c r="H722" s="1">
        <v>31474</v>
      </c>
      <c r="I722" s="1" t="s">
        <v>433</v>
      </c>
      <c r="J722" t="s">
        <v>453</v>
      </c>
      <c r="K722" s="20">
        <v>29.9</v>
      </c>
      <c r="L722">
        <f ca="1">TRUNC((TODAY()-tBase[[#This Row],[Data Nascimento]])/365)</f>
        <v>39</v>
      </c>
      <c r="M722" t="str">
        <f ca="1">HLOOKUP(tBase[[#This Row],[Idade]],$O$3:$R$4,2,TRUE)</f>
        <v>35 - 44</v>
      </c>
    </row>
    <row r="723" spans="2:13">
      <c r="B723" s="19">
        <v>86499663957</v>
      </c>
      <c r="C723" t="s">
        <v>317</v>
      </c>
      <c r="D723" t="s">
        <v>5</v>
      </c>
      <c r="E723" t="s">
        <v>7</v>
      </c>
      <c r="F723" t="s">
        <v>427</v>
      </c>
      <c r="G723" t="s">
        <v>425</v>
      </c>
      <c r="H723" s="1">
        <v>26710</v>
      </c>
      <c r="I723" s="1" t="s">
        <v>433</v>
      </c>
      <c r="J723" t="s">
        <v>454</v>
      </c>
      <c r="K723" s="20">
        <v>35.9</v>
      </c>
      <c r="L723">
        <f ca="1">TRUNC((TODAY()-tBase[[#This Row],[Data Nascimento]])/365)</f>
        <v>52</v>
      </c>
      <c r="M723" t="str">
        <f ca="1">HLOOKUP(tBase[[#This Row],[Idade]],$O$3:$R$4,2,TRUE)</f>
        <v>44 - 54</v>
      </c>
    </row>
    <row r="724" spans="2:13">
      <c r="B724" s="19">
        <v>86852773998</v>
      </c>
      <c r="C724" t="s">
        <v>407</v>
      </c>
      <c r="D724" t="s">
        <v>6</v>
      </c>
      <c r="E724" t="s">
        <v>7</v>
      </c>
      <c r="F724" t="s">
        <v>427</v>
      </c>
      <c r="G724" t="s">
        <v>425</v>
      </c>
      <c r="H724" s="1">
        <v>26154</v>
      </c>
      <c r="I724" s="1" t="s">
        <v>433</v>
      </c>
      <c r="J724" t="s">
        <v>453</v>
      </c>
      <c r="K724" s="20">
        <v>29.9</v>
      </c>
      <c r="L724">
        <f ca="1">TRUNC((TODAY()-tBase[[#This Row],[Data Nascimento]])/365)</f>
        <v>54</v>
      </c>
      <c r="M724" t="str">
        <f ca="1">HLOOKUP(tBase[[#This Row],[Idade]],$O$3:$R$4,2,TRUE)</f>
        <v>54-70</v>
      </c>
    </row>
    <row r="725" spans="2:13">
      <c r="B725" s="19">
        <v>86978937487</v>
      </c>
      <c r="C725" t="s">
        <v>238</v>
      </c>
      <c r="D725" t="s">
        <v>6</v>
      </c>
      <c r="E725" t="s">
        <v>417</v>
      </c>
      <c r="F725" t="s">
        <v>427</v>
      </c>
      <c r="G725" t="s">
        <v>426</v>
      </c>
      <c r="H725" s="1">
        <v>23368</v>
      </c>
      <c r="I725" s="1" t="s">
        <v>433</v>
      </c>
      <c r="J725" t="s">
        <v>453</v>
      </c>
      <c r="K725" s="20">
        <v>29.9</v>
      </c>
      <c r="L725">
        <f ca="1">TRUNC((TODAY()-tBase[[#This Row],[Data Nascimento]])/365)</f>
        <v>62</v>
      </c>
      <c r="M725" t="str">
        <f ca="1">HLOOKUP(tBase[[#This Row],[Idade]],$O$3:$R$4,2,TRUE)</f>
        <v>54-70</v>
      </c>
    </row>
    <row r="726" spans="2:13">
      <c r="B726" s="19">
        <v>87196399314</v>
      </c>
      <c r="C726" t="s">
        <v>264</v>
      </c>
      <c r="D726" t="s">
        <v>6</v>
      </c>
      <c r="E726" t="s">
        <v>417</v>
      </c>
      <c r="F726" t="s">
        <v>13</v>
      </c>
      <c r="G726" t="s">
        <v>425</v>
      </c>
      <c r="H726" s="1">
        <v>23107</v>
      </c>
      <c r="I726" s="1" t="s">
        <v>429</v>
      </c>
      <c r="J726" t="s">
        <v>454</v>
      </c>
      <c r="K726" s="20">
        <v>35.9</v>
      </c>
      <c r="L726">
        <f ca="1">TRUNC((TODAY()-tBase[[#This Row],[Data Nascimento]])/365)</f>
        <v>62</v>
      </c>
      <c r="M726" t="str">
        <f ca="1">HLOOKUP(tBase[[#This Row],[Idade]],$O$3:$R$4,2,TRUE)</f>
        <v>54-70</v>
      </c>
    </row>
    <row r="727" spans="2:13">
      <c r="B727" s="19">
        <v>87285460641</v>
      </c>
      <c r="C727" t="s">
        <v>256</v>
      </c>
      <c r="D727" t="s">
        <v>6</v>
      </c>
      <c r="E727" t="s">
        <v>7</v>
      </c>
      <c r="F727" t="s">
        <v>14</v>
      </c>
      <c r="G727" t="s">
        <v>426</v>
      </c>
      <c r="H727" s="1">
        <v>31436</v>
      </c>
      <c r="I727" s="1" t="s">
        <v>432</v>
      </c>
      <c r="J727" t="s">
        <v>453</v>
      </c>
      <c r="K727" s="20">
        <v>29.9</v>
      </c>
      <c r="L727">
        <f ca="1">TRUNC((TODAY()-tBase[[#This Row],[Data Nascimento]])/365)</f>
        <v>40</v>
      </c>
      <c r="M727" t="str">
        <f ca="1">HLOOKUP(tBase[[#This Row],[Idade]],$O$3:$R$4,2,TRUE)</f>
        <v>35 - 44</v>
      </c>
    </row>
    <row r="728" spans="2:13">
      <c r="B728" s="19">
        <v>87414402435</v>
      </c>
      <c r="C728" t="s">
        <v>259</v>
      </c>
      <c r="D728" t="s">
        <v>5</v>
      </c>
      <c r="E728" t="s">
        <v>8</v>
      </c>
      <c r="F728" t="s">
        <v>12</v>
      </c>
      <c r="G728" t="s">
        <v>426</v>
      </c>
      <c r="H728" s="1">
        <v>28767</v>
      </c>
      <c r="I728" s="1" t="s">
        <v>436</v>
      </c>
      <c r="J728" t="s">
        <v>455</v>
      </c>
      <c r="K728" s="20">
        <v>9.9</v>
      </c>
      <c r="L728">
        <f ca="1">TRUNC((TODAY()-tBase[[#This Row],[Data Nascimento]])/365)</f>
        <v>47</v>
      </c>
      <c r="M728" t="str">
        <f ca="1">HLOOKUP(tBase[[#This Row],[Idade]],$O$3:$R$4,2,TRUE)</f>
        <v>44 - 54</v>
      </c>
    </row>
    <row r="729" spans="2:13">
      <c r="B729" s="19">
        <v>87420964182</v>
      </c>
      <c r="C729" t="s">
        <v>363</v>
      </c>
      <c r="D729" t="s">
        <v>5</v>
      </c>
      <c r="E729" t="s">
        <v>7</v>
      </c>
      <c r="F729" t="s">
        <v>9</v>
      </c>
      <c r="G729" t="s">
        <v>424</v>
      </c>
      <c r="H729" s="1">
        <v>28768</v>
      </c>
      <c r="I729" s="1" t="s">
        <v>436</v>
      </c>
      <c r="J729" t="s">
        <v>455</v>
      </c>
      <c r="K729" s="20">
        <v>9.9</v>
      </c>
      <c r="L729">
        <f ca="1">TRUNC((TODAY()-tBase[[#This Row],[Data Nascimento]])/365)</f>
        <v>47</v>
      </c>
      <c r="M729" t="str">
        <f ca="1">HLOOKUP(tBase[[#This Row],[Idade]],$O$3:$R$4,2,TRUE)</f>
        <v>44 - 54</v>
      </c>
    </row>
    <row r="730" spans="2:13">
      <c r="B730" s="19">
        <v>87436471754</v>
      </c>
      <c r="C730" t="s">
        <v>287</v>
      </c>
      <c r="D730" t="s">
        <v>6</v>
      </c>
      <c r="E730" t="s">
        <v>7</v>
      </c>
      <c r="F730" t="s">
        <v>427</v>
      </c>
      <c r="G730" t="s">
        <v>425</v>
      </c>
      <c r="H730" s="1">
        <v>21950</v>
      </c>
      <c r="I730" s="1" t="s">
        <v>436</v>
      </c>
      <c r="J730" t="s">
        <v>453</v>
      </c>
      <c r="K730" s="20">
        <v>29.9</v>
      </c>
      <c r="L730">
        <f ca="1">TRUNC((TODAY()-tBase[[#This Row],[Data Nascimento]])/365)</f>
        <v>66</v>
      </c>
      <c r="M730" t="str">
        <f ca="1">HLOOKUP(tBase[[#This Row],[Idade]],$O$3:$R$4,2,TRUE)</f>
        <v>54-70</v>
      </c>
    </row>
    <row r="731" spans="2:13">
      <c r="B731" s="19">
        <v>87558717722</v>
      </c>
      <c r="C731" t="s">
        <v>147</v>
      </c>
      <c r="D731" t="s">
        <v>6</v>
      </c>
      <c r="E731" t="s">
        <v>7</v>
      </c>
      <c r="F731" t="s">
        <v>9</v>
      </c>
      <c r="G731" t="s">
        <v>425</v>
      </c>
      <c r="H731" s="1">
        <v>28845</v>
      </c>
      <c r="I731" s="1" t="s">
        <v>436</v>
      </c>
      <c r="J731" t="s">
        <v>455</v>
      </c>
      <c r="K731" s="20">
        <v>9.9</v>
      </c>
      <c r="L731">
        <f ca="1">TRUNC((TODAY()-tBase[[#This Row],[Data Nascimento]])/365)</f>
        <v>47</v>
      </c>
      <c r="M731" t="str">
        <f ca="1">HLOOKUP(tBase[[#This Row],[Idade]],$O$3:$R$4,2,TRUE)</f>
        <v>44 - 54</v>
      </c>
    </row>
    <row r="732" spans="2:13">
      <c r="B732" s="19">
        <v>87686193175</v>
      </c>
      <c r="C732" t="s">
        <v>118</v>
      </c>
      <c r="D732" t="s">
        <v>5</v>
      </c>
      <c r="E732" t="s">
        <v>417</v>
      </c>
      <c r="F732" t="s">
        <v>427</v>
      </c>
      <c r="G732" t="s">
        <v>426</v>
      </c>
      <c r="H732" s="1">
        <v>35825</v>
      </c>
      <c r="I732" s="1" t="s">
        <v>436</v>
      </c>
      <c r="J732" t="s">
        <v>453</v>
      </c>
      <c r="K732" s="20">
        <v>29.9</v>
      </c>
      <c r="L732">
        <f ca="1">TRUNC((TODAY()-tBase[[#This Row],[Data Nascimento]])/365)</f>
        <v>28</v>
      </c>
      <c r="M732" t="str">
        <f ca="1">HLOOKUP(tBase[[#This Row],[Idade]],$O$3:$R$4,2,TRUE)</f>
        <v>24-34</v>
      </c>
    </row>
    <row r="733" spans="2:13">
      <c r="B733" s="19">
        <v>87868289945</v>
      </c>
      <c r="C733" t="s">
        <v>413</v>
      </c>
      <c r="D733" t="s">
        <v>6</v>
      </c>
      <c r="E733" t="s">
        <v>7</v>
      </c>
      <c r="F733" t="s">
        <v>427</v>
      </c>
      <c r="G733" t="s">
        <v>424</v>
      </c>
      <c r="H733" s="1">
        <v>35852</v>
      </c>
      <c r="I733" s="1" t="s">
        <v>436</v>
      </c>
      <c r="J733" t="s">
        <v>454</v>
      </c>
      <c r="K733" s="20">
        <v>35.9</v>
      </c>
      <c r="L733">
        <f ca="1">TRUNC((TODAY()-tBase[[#This Row],[Data Nascimento]])/365)</f>
        <v>27</v>
      </c>
      <c r="M733" t="str">
        <f ca="1">HLOOKUP(tBase[[#This Row],[Idade]],$O$3:$R$4,2,TRUE)</f>
        <v>24-34</v>
      </c>
    </row>
    <row r="734" spans="2:13">
      <c r="B734" s="19">
        <v>87892351305</v>
      </c>
      <c r="C734" t="s">
        <v>47</v>
      </c>
      <c r="D734" t="s">
        <v>6</v>
      </c>
      <c r="E734" t="s">
        <v>7</v>
      </c>
      <c r="F734" t="s">
        <v>427</v>
      </c>
      <c r="G734" t="s">
        <v>425</v>
      </c>
      <c r="H734" s="1">
        <v>32482</v>
      </c>
      <c r="I734" s="1" t="s">
        <v>435</v>
      </c>
      <c r="J734" t="s">
        <v>453</v>
      </c>
      <c r="K734" s="20">
        <v>29.9</v>
      </c>
      <c r="L734">
        <f ca="1">TRUNC((TODAY()-tBase[[#This Row],[Data Nascimento]])/365)</f>
        <v>37</v>
      </c>
      <c r="M734" t="str">
        <f ca="1">HLOOKUP(tBase[[#This Row],[Idade]],$O$3:$R$4,2,TRUE)</f>
        <v>35 - 44</v>
      </c>
    </row>
    <row r="735" spans="2:13">
      <c r="B735" s="19">
        <v>88165679068</v>
      </c>
      <c r="C735" t="s">
        <v>272</v>
      </c>
      <c r="D735" t="s">
        <v>6</v>
      </c>
      <c r="E735" t="s">
        <v>8</v>
      </c>
      <c r="F735" t="s">
        <v>13</v>
      </c>
      <c r="G735" t="s">
        <v>425</v>
      </c>
      <c r="H735" s="1">
        <v>32167</v>
      </c>
      <c r="I735" s="1" t="s">
        <v>433</v>
      </c>
      <c r="J735" t="s">
        <v>453</v>
      </c>
      <c r="K735" s="20">
        <v>29.9</v>
      </c>
      <c r="L735">
        <f ca="1">TRUNC((TODAY()-tBase[[#This Row],[Data Nascimento]])/365)</f>
        <v>38</v>
      </c>
      <c r="M735" t="str">
        <f ca="1">HLOOKUP(tBase[[#This Row],[Idade]],$O$3:$R$4,2,TRUE)</f>
        <v>35 - 44</v>
      </c>
    </row>
    <row r="736" spans="2:13">
      <c r="B736" s="19">
        <v>88238264803</v>
      </c>
      <c r="C736" t="s">
        <v>111</v>
      </c>
      <c r="D736" t="s">
        <v>5</v>
      </c>
      <c r="E736" t="s">
        <v>417</v>
      </c>
      <c r="F736" t="s">
        <v>9</v>
      </c>
      <c r="G736" t="s">
        <v>424</v>
      </c>
      <c r="H736" s="1">
        <v>26611</v>
      </c>
      <c r="I736" s="1" t="s">
        <v>433</v>
      </c>
      <c r="J736" t="s">
        <v>455</v>
      </c>
      <c r="K736" s="20">
        <v>9.9</v>
      </c>
      <c r="L736">
        <f ca="1">TRUNC((TODAY()-tBase[[#This Row],[Data Nascimento]])/365)</f>
        <v>53</v>
      </c>
      <c r="M736" t="str">
        <f ca="1">HLOOKUP(tBase[[#This Row],[Idade]],$O$3:$R$4,2,TRUE)</f>
        <v>44 - 54</v>
      </c>
    </row>
    <row r="737" spans="2:13">
      <c r="B737" s="19">
        <v>88285918314</v>
      </c>
      <c r="C737" t="s">
        <v>357</v>
      </c>
      <c r="D737" t="s">
        <v>5</v>
      </c>
      <c r="E737" t="s">
        <v>7</v>
      </c>
      <c r="F737" t="s">
        <v>427</v>
      </c>
      <c r="G737" t="s">
        <v>425</v>
      </c>
      <c r="H737" s="1">
        <v>32585</v>
      </c>
      <c r="I737" s="1" t="s">
        <v>433</v>
      </c>
      <c r="J737" t="s">
        <v>455</v>
      </c>
      <c r="K737" s="20">
        <v>9.9</v>
      </c>
      <c r="L737">
        <f ca="1">TRUNC((TODAY()-tBase[[#This Row],[Data Nascimento]])/365)</f>
        <v>36</v>
      </c>
      <c r="M737" t="str">
        <f ca="1">HLOOKUP(tBase[[#This Row],[Idade]],$O$3:$R$4,2,TRUE)</f>
        <v>35 - 44</v>
      </c>
    </row>
    <row r="738" spans="2:13">
      <c r="B738" s="19">
        <v>88425685425</v>
      </c>
      <c r="C738" t="s">
        <v>67</v>
      </c>
      <c r="D738" t="s">
        <v>6</v>
      </c>
      <c r="E738" t="s">
        <v>7</v>
      </c>
      <c r="F738" t="s">
        <v>12</v>
      </c>
      <c r="G738" t="s">
        <v>425</v>
      </c>
      <c r="H738" s="1">
        <v>23204</v>
      </c>
      <c r="I738" s="1" t="s">
        <v>433</v>
      </c>
      <c r="J738" t="s">
        <v>455</v>
      </c>
      <c r="K738" s="20">
        <v>9.9</v>
      </c>
      <c r="L738">
        <f ca="1">TRUNC((TODAY()-tBase[[#This Row],[Data Nascimento]])/365)</f>
        <v>62</v>
      </c>
      <c r="M738" t="str">
        <f ca="1">HLOOKUP(tBase[[#This Row],[Idade]],$O$3:$R$4,2,TRUE)</f>
        <v>54-70</v>
      </c>
    </row>
    <row r="739" spans="2:13">
      <c r="B739" s="19">
        <v>88756128664</v>
      </c>
      <c r="C739" t="s">
        <v>254</v>
      </c>
      <c r="D739" t="s">
        <v>6</v>
      </c>
      <c r="E739" t="s">
        <v>417</v>
      </c>
      <c r="F739" t="s">
        <v>13</v>
      </c>
      <c r="G739" t="s">
        <v>425</v>
      </c>
      <c r="H739" s="1">
        <v>29275</v>
      </c>
      <c r="I739" s="1" t="s">
        <v>433</v>
      </c>
      <c r="J739" t="s">
        <v>455</v>
      </c>
      <c r="K739" s="20">
        <v>9.9</v>
      </c>
      <c r="L739">
        <f ca="1">TRUNC((TODAY()-tBase[[#This Row],[Data Nascimento]])/365)</f>
        <v>45</v>
      </c>
      <c r="M739" t="str">
        <f ca="1">HLOOKUP(tBase[[#This Row],[Idade]],$O$3:$R$4,2,TRUE)</f>
        <v>44 - 54</v>
      </c>
    </row>
    <row r="740" spans="2:13">
      <c r="B740" s="19">
        <v>88896839501</v>
      </c>
      <c r="C740" t="s">
        <v>275</v>
      </c>
      <c r="D740" t="s">
        <v>5</v>
      </c>
      <c r="E740" t="s">
        <v>417</v>
      </c>
      <c r="F740" t="s">
        <v>13</v>
      </c>
      <c r="G740" t="s">
        <v>425</v>
      </c>
      <c r="H740" s="1">
        <v>23187</v>
      </c>
      <c r="I740" s="1" t="s">
        <v>430</v>
      </c>
      <c r="J740" t="s">
        <v>453</v>
      </c>
      <c r="K740" s="20">
        <v>29.9</v>
      </c>
      <c r="L740">
        <f ca="1">TRUNC((TODAY()-tBase[[#This Row],[Data Nascimento]])/365)</f>
        <v>62</v>
      </c>
      <c r="M740" t="str">
        <f ca="1">HLOOKUP(tBase[[#This Row],[Idade]],$O$3:$R$4,2,TRUE)</f>
        <v>54-70</v>
      </c>
    </row>
    <row r="741" spans="2:13">
      <c r="B741" s="19">
        <v>89152601477</v>
      </c>
      <c r="C741" t="s">
        <v>380</v>
      </c>
      <c r="D741" t="s">
        <v>5</v>
      </c>
      <c r="E741" t="s">
        <v>7</v>
      </c>
      <c r="F741" t="s">
        <v>13</v>
      </c>
      <c r="G741" t="s">
        <v>425</v>
      </c>
      <c r="H741" s="1">
        <v>32480</v>
      </c>
      <c r="I741" s="1" t="s">
        <v>429</v>
      </c>
      <c r="J741" t="s">
        <v>455</v>
      </c>
      <c r="K741" s="20">
        <v>9.9</v>
      </c>
      <c r="L741">
        <f ca="1">TRUNC((TODAY()-tBase[[#This Row],[Data Nascimento]])/365)</f>
        <v>37</v>
      </c>
      <c r="M741" t="str">
        <f ca="1">HLOOKUP(tBase[[#This Row],[Idade]],$O$3:$R$4,2,TRUE)</f>
        <v>35 - 44</v>
      </c>
    </row>
    <row r="742" spans="2:13">
      <c r="B742" s="19">
        <v>89207609844</v>
      </c>
      <c r="C742" t="s">
        <v>210</v>
      </c>
      <c r="D742" t="s">
        <v>6</v>
      </c>
      <c r="E742" t="s">
        <v>7</v>
      </c>
      <c r="F742" t="s">
        <v>11</v>
      </c>
      <c r="G742" t="s">
        <v>426</v>
      </c>
      <c r="H742" s="1">
        <v>26402</v>
      </c>
      <c r="I742" s="1" t="s">
        <v>431</v>
      </c>
      <c r="J742" t="s">
        <v>456</v>
      </c>
      <c r="K742" s="20">
        <v>79.900000000000006</v>
      </c>
      <c r="L742">
        <f ca="1">TRUNC((TODAY()-tBase[[#This Row],[Data Nascimento]])/365)</f>
        <v>53</v>
      </c>
      <c r="M742" t="str">
        <f ca="1">HLOOKUP(tBase[[#This Row],[Idade]],$O$3:$R$4,2,TRUE)</f>
        <v>44 - 54</v>
      </c>
    </row>
    <row r="743" spans="2:13">
      <c r="B743" s="19">
        <v>89438414320</v>
      </c>
      <c r="C743" t="s">
        <v>144</v>
      </c>
      <c r="D743" t="s">
        <v>6</v>
      </c>
      <c r="E743" t="s">
        <v>417</v>
      </c>
      <c r="F743" t="s">
        <v>13</v>
      </c>
      <c r="G743" t="s">
        <v>425</v>
      </c>
      <c r="H743" s="1">
        <v>35596</v>
      </c>
      <c r="I743" s="1" t="s">
        <v>432</v>
      </c>
      <c r="J743" t="s">
        <v>454</v>
      </c>
      <c r="K743" s="20">
        <v>35.9</v>
      </c>
      <c r="L743">
        <f ca="1">TRUNC((TODAY()-tBase[[#This Row],[Data Nascimento]])/365)</f>
        <v>28</v>
      </c>
      <c r="M743" t="str">
        <f ca="1">HLOOKUP(tBase[[#This Row],[Idade]],$O$3:$R$4,2,TRUE)</f>
        <v>24-34</v>
      </c>
    </row>
    <row r="744" spans="2:13">
      <c r="B744" s="19">
        <v>89439201236</v>
      </c>
      <c r="C744" t="s">
        <v>236</v>
      </c>
      <c r="D744" t="s">
        <v>6</v>
      </c>
      <c r="E744" t="s">
        <v>7</v>
      </c>
      <c r="F744" t="s">
        <v>13</v>
      </c>
      <c r="G744" t="s">
        <v>426</v>
      </c>
      <c r="H744" s="1">
        <v>28810</v>
      </c>
      <c r="I744" s="1" t="s">
        <v>434</v>
      </c>
      <c r="J744" t="s">
        <v>455</v>
      </c>
      <c r="K744" s="20">
        <v>9.9</v>
      </c>
      <c r="L744">
        <f ca="1">TRUNC((TODAY()-tBase[[#This Row],[Data Nascimento]])/365)</f>
        <v>47</v>
      </c>
      <c r="M744" t="str">
        <f ca="1">HLOOKUP(tBase[[#This Row],[Idade]],$O$3:$R$4,2,TRUE)</f>
        <v>44 - 54</v>
      </c>
    </row>
    <row r="745" spans="2:13">
      <c r="B745" s="19">
        <v>89576352486</v>
      </c>
      <c r="C745" t="s">
        <v>258</v>
      </c>
      <c r="D745" t="s">
        <v>6</v>
      </c>
      <c r="E745" t="s">
        <v>417</v>
      </c>
      <c r="F745" t="s">
        <v>11</v>
      </c>
      <c r="G745" t="s">
        <v>426</v>
      </c>
      <c r="H745" s="1">
        <v>34800</v>
      </c>
      <c r="I745" s="1" t="s">
        <v>430</v>
      </c>
      <c r="J745" t="s">
        <v>456</v>
      </c>
      <c r="K745" s="20">
        <v>79.900000000000006</v>
      </c>
      <c r="L745">
        <f ca="1">TRUNC((TODAY()-tBase[[#This Row],[Data Nascimento]])/365)</f>
        <v>30</v>
      </c>
      <c r="M745" t="str">
        <f ca="1">HLOOKUP(tBase[[#This Row],[Idade]],$O$3:$R$4,2,TRUE)</f>
        <v>24-34</v>
      </c>
    </row>
    <row r="746" spans="2:13">
      <c r="B746" s="19">
        <v>89719385812</v>
      </c>
      <c r="C746" t="s">
        <v>19</v>
      </c>
      <c r="D746" t="s">
        <v>6</v>
      </c>
      <c r="E746" t="s">
        <v>8</v>
      </c>
      <c r="F746" t="s">
        <v>12</v>
      </c>
      <c r="G746" t="s">
        <v>426</v>
      </c>
      <c r="H746" s="1">
        <v>24801</v>
      </c>
      <c r="I746" s="1" t="s">
        <v>435</v>
      </c>
      <c r="J746" t="s">
        <v>455</v>
      </c>
      <c r="K746" s="20">
        <v>9.9</v>
      </c>
      <c r="L746">
        <f ca="1">TRUNC((TODAY()-tBase[[#This Row],[Data Nascimento]])/365)</f>
        <v>58</v>
      </c>
      <c r="M746" t="str">
        <f ca="1">HLOOKUP(tBase[[#This Row],[Idade]],$O$3:$R$4,2,TRUE)</f>
        <v>54-70</v>
      </c>
    </row>
    <row r="747" spans="2:13">
      <c r="B747" s="19">
        <v>89961852342</v>
      </c>
      <c r="C747" t="s">
        <v>141</v>
      </c>
      <c r="D747" t="s">
        <v>6</v>
      </c>
      <c r="E747" t="s">
        <v>417</v>
      </c>
      <c r="F747" t="s">
        <v>427</v>
      </c>
      <c r="G747" t="s">
        <v>425</v>
      </c>
      <c r="H747" s="1">
        <v>29447</v>
      </c>
      <c r="I747" s="1" t="s">
        <v>436</v>
      </c>
      <c r="J747" t="s">
        <v>455</v>
      </c>
      <c r="K747" s="20">
        <v>9.9</v>
      </c>
      <c r="L747">
        <f ca="1">TRUNC((TODAY()-tBase[[#This Row],[Data Nascimento]])/365)</f>
        <v>45</v>
      </c>
      <c r="M747" t="str">
        <f ca="1">HLOOKUP(tBase[[#This Row],[Idade]],$O$3:$R$4,2,TRUE)</f>
        <v>44 - 54</v>
      </c>
    </row>
    <row r="748" spans="2:13">
      <c r="B748" s="19">
        <v>90135135538</v>
      </c>
      <c r="C748" t="s">
        <v>408</v>
      </c>
      <c r="D748" t="s">
        <v>5</v>
      </c>
      <c r="E748" t="s">
        <v>416</v>
      </c>
      <c r="F748" t="s">
        <v>13</v>
      </c>
      <c r="G748" t="s">
        <v>425</v>
      </c>
      <c r="H748" s="1">
        <v>23296</v>
      </c>
      <c r="I748" s="1" t="s">
        <v>430</v>
      </c>
      <c r="J748" t="s">
        <v>454</v>
      </c>
      <c r="K748" s="20">
        <v>35.9</v>
      </c>
      <c r="L748">
        <f ca="1">TRUNC((TODAY()-tBase[[#This Row],[Data Nascimento]])/365)</f>
        <v>62</v>
      </c>
      <c r="M748" t="str">
        <f ca="1">HLOOKUP(tBase[[#This Row],[Idade]],$O$3:$R$4,2,TRUE)</f>
        <v>54-70</v>
      </c>
    </row>
    <row r="749" spans="2:13">
      <c r="B749" s="19">
        <v>90226137721</v>
      </c>
      <c r="C749" t="s">
        <v>218</v>
      </c>
      <c r="D749" t="s">
        <v>6</v>
      </c>
      <c r="E749" t="s">
        <v>417</v>
      </c>
      <c r="F749" t="s">
        <v>13</v>
      </c>
      <c r="G749" t="s">
        <v>426</v>
      </c>
      <c r="H749" s="1">
        <v>27142</v>
      </c>
      <c r="I749" s="1" t="s">
        <v>435</v>
      </c>
      <c r="J749" t="s">
        <v>456</v>
      </c>
      <c r="K749" s="20">
        <v>79.900000000000006</v>
      </c>
      <c r="L749">
        <f ca="1">TRUNC((TODAY()-tBase[[#This Row],[Data Nascimento]])/365)</f>
        <v>51</v>
      </c>
      <c r="M749" t="str">
        <f ca="1">HLOOKUP(tBase[[#This Row],[Idade]],$O$3:$R$4,2,TRUE)</f>
        <v>44 - 54</v>
      </c>
    </row>
    <row r="750" spans="2:13">
      <c r="B750" s="19">
        <v>90433255608</v>
      </c>
      <c r="C750" t="s">
        <v>215</v>
      </c>
      <c r="D750" t="s">
        <v>6</v>
      </c>
      <c r="E750" t="s">
        <v>417</v>
      </c>
      <c r="F750" t="s">
        <v>427</v>
      </c>
      <c r="G750" t="s">
        <v>425</v>
      </c>
      <c r="H750" s="1">
        <v>26672</v>
      </c>
      <c r="I750" s="1" t="s">
        <v>436</v>
      </c>
      <c r="J750" t="s">
        <v>453</v>
      </c>
      <c r="K750" s="20">
        <v>29.9</v>
      </c>
      <c r="L750">
        <f ca="1">TRUNC((TODAY()-tBase[[#This Row],[Data Nascimento]])/365)</f>
        <v>53</v>
      </c>
      <c r="M750" t="str">
        <f ca="1">HLOOKUP(tBase[[#This Row],[Idade]],$O$3:$R$4,2,TRUE)</f>
        <v>44 - 54</v>
      </c>
    </row>
    <row r="751" spans="2:13">
      <c r="B751" s="19">
        <v>90471108936</v>
      </c>
      <c r="C751" t="s">
        <v>169</v>
      </c>
      <c r="D751" t="s">
        <v>6</v>
      </c>
      <c r="E751" t="s">
        <v>8</v>
      </c>
      <c r="F751" t="s">
        <v>12</v>
      </c>
      <c r="G751" t="s">
        <v>424</v>
      </c>
      <c r="H751" s="1">
        <v>30379</v>
      </c>
      <c r="I751" s="1" t="s">
        <v>433</v>
      </c>
      <c r="J751" t="s">
        <v>454</v>
      </c>
      <c r="K751" s="20">
        <v>35.9</v>
      </c>
      <c r="L751">
        <f ca="1">TRUNC((TODAY()-tBase[[#This Row],[Data Nascimento]])/365)</f>
        <v>42</v>
      </c>
      <c r="M751" t="str">
        <f ca="1">HLOOKUP(tBase[[#This Row],[Idade]],$O$3:$R$4,2,TRUE)</f>
        <v>35 - 44</v>
      </c>
    </row>
    <row r="752" spans="2:13">
      <c r="B752" s="19">
        <v>90676250589</v>
      </c>
      <c r="C752" t="s">
        <v>209</v>
      </c>
      <c r="D752" t="s">
        <v>6</v>
      </c>
      <c r="E752" t="s">
        <v>8</v>
      </c>
      <c r="F752" t="s">
        <v>427</v>
      </c>
      <c r="G752" t="s">
        <v>424</v>
      </c>
      <c r="H752" s="1">
        <v>23395</v>
      </c>
      <c r="I752" s="1" t="s">
        <v>433</v>
      </c>
      <c r="J752" t="s">
        <v>454</v>
      </c>
      <c r="K752" s="20">
        <v>35.9</v>
      </c>
      <c r="L752">
        <f ca="1">TRUNC((TODAY()-tBase[[#This Row],[Data Nascimento]])/365)</f>
        <v>62</v>
      </c>
      <c r="M752" t="str">
        <f ca="1">HLOOKUP(tBase[[#This Row],[Idade]],$O$3:$R$4,2,TRUE)</f>
        <v>54-70</v>
      </c>
    </row>
    <row r="753" spans="2:13">
      <c r="B753" s="19">
        <v>91279323809</v>
      </c>
      <c r="C753" t="s">
        <v>57</v>
      </c>
      <c r="D753" t="s">
        <v>6</v>
      </c>
      <c r="E753" t="s">
        <v>7</v>
      </c>
      <c r="F753" t="s">
        <v>427</v>
      </c>
      <c r="G753" t="s">
        <v>425</v>
      </c>
      <c r="H753" s="1">
        <v>27443</v>
      </c>
      <c r="I753" s="1" t="s">
        <v>433</v>
      </c>
      <c r="J753" t="s">
        <v>455</v>
      </c>
      <c r="K753" s="20">
        <v>9.9</v>
      </c>
      <c r="L753">
        <f ca="1">TRUNC((TODAY()-tBase[[#This Row],[Data Nascimento]])/365)</f>
        <v>50</v>
      </c>
      <c r="M753" t="str">
        <f ca="1">HLOOKUP(tBase[[#This Row],[Idade]],$O$3:$R$4,2,TRUE)</f>
        <v>44 - 54</v>
      </c>
    </row>
    <row r="754" spans="2:13">
      <c r="B754" s="19">
        <v>91362501845</v>
      </c>
      <c r="C754" t="s">
        <v>54</v>
      </c>
      <c r="D754" t="s">
        <v>5</v>
      </c>
      <c r="E754" t="s">
        <v>417</v>
      </c>
      <c r="F754" t="s">
        <v>11</v>
      </c>
      <c r="G754" t="s">
        <v>425</v>
      </c>
      <c r="H754" s="1">
        <v>28394</v>
      </c>
      <c r="I754" s="1" t="s">
        <v>433</v>
      </c>
      <c r="J754" t="s">
        <v>456</v>
      </c>
      <c r="K754" s="20">
        <v>79.900000000000006</v>
      </c>
      <c r="L754">
        <f ca="1">TRUNC((TODAY()-tBase[[#This Row],[Data Nascimento]])/365)</f>
        <v>48</v>
      </c>
      <c r="M754" t="str">
        <f ca="1">HLOOKUP(tBase[[#This Row],[Idade]],$O$3:$R$4,2,TRUE)</f>
        <v>44 - 54</v>
      </c>
    </row>
    <row r="755" spans="2:13">
      <c r="B755" s="19">
        <v>91518429185</v>
      </c>
      <c r="C755" t="s">
        <v>152</v>
      </c>
      <c r="D755" t="s">
        <v>6</v>
      </c>
      <c r="E755" t="s">
        <v>8</v>
      </c>
      <c r="F755" t="s">
        <v>13</v>
      </c>
      <c r="G755" t="s">
        <v>425</v>
      </c>
      <c r="H755" s="1">
        <v>31840</v>
      </c>
      <c r="I755" s="1" t="s">
        <v>433</v>
      </c>
      <c r="J755" t="s">
        <v>453</v>
      </c>
      <c r="K755" s="20">
        <v>29.9</v>
      </c>
      <c r="L755">
        <f ca="1">TRUNC((TODAY()-tBase[[#This Row],[Data Nascimento]])/365)</f>
        <v>38</v>
      </c>
      <c r="M755" t="str">
        <f ca="1">HLOOKUP(tBase[[#This Row],[Idade]],$O$3:$R$4,2,TRUE)</f>
        <v>35 - 44</v>
      </c>
    </row>
    <row r="756" spans="2:13">
      <c r="B756" s="19">
        <v>92217554531</v>
      </c>
      <c r="C756" t="s">
        <v>230</v>
      </c>
      <c r="D756" t="s">
        <v>6</v>
      </c>
      <c r="E756" t="s">
        <v>7</v>
      </c>
      <c r="F756" t="s">
        <v>13</v>
      </c>
      <c r="G756" t="s">
        <v>426</v>
      </c>
      <c r="H756" s="1">
        <v>29548</v>
      </c>
      <c r="I756" s="1" t="s">
        <v>433</v>
      </c>
      <c r="J756" t="s">
        <v>455</v>
      </c>
      <c r="K756" s="20">
        <v>9.9</v>
      </c>
      <c r="L756">
        <f ca="1">TRUNC((TODAY()-tBase[[#This Row],[Data Nascimento]])/365)</f>
        <v>45</v>
      </c>
      <c r="M756" t="str">
        <f ca="1">HLOOKUP(tBase[[#This Row],[Idade]],$O$3:$R$4,2,TRUE)</f>
        <v>44 - 54</v>
      </c>
    </row>
    <row r="757" spans="2:13">
      <c r="B757" s="19">
        <v>92420051701</v>
      </c>
      <c r="C757" t="s">
        <v>182</v>
      </c>
      <c r="D757" t="s">
        <v>5</v>
      </c>
      <c r="E757" t="s">
        <v>8</v>
      </c>
      <c r="F757" t="s">
        <v>13</v>
      </c>
      <c r="G757" t="s">
        <v>424</v>
      </c>
      <c r="H757" s="1">
        <v>35594</v>
      </c>
      <c r="I757" s="1" t="s">
        <v>433</v>
      </c>
      <c r="J757" t="s">
        <v>455</v>
      </c>
      <c r="K757" s="20">
        <v>9.9</v>
      </c>
      <c r="L757">
        <f ca="1">TRUNC((TODAY()-tBase[[#This Row],[Data Nascimento]])/365)</f>
        <v>28</v>
      </c>
      <c r="M757" t="str">
        <f ca="1">HLOOKUP(tBase[[#This Row],[Idade]],$O$3:$R$4,2,TRUE)</f>
        <v>24-34</v>
      </c>
    </row>
    <row r="758" spans="2:13">
      <c r="B758" s="19">
        <v>92500013367</v>
      </c>
      <c r="C758" t="s">
        <v>131</v>
      </c>
      <c r="D758" t="s">
        <v>6</v>
      </c>
      <c r="E758" t="s">
        <v>416</v>
      </c>
      <c r="F758" t="s">
        <v>13</v>
      </c>
      <c r="G758" t="s">
        <v>424</v>
      </c>
      <c r="H758" s="1">
        <v>22721</v>
      </c>
      <c r="I758" s="1" t="s">
        <v>433</v>
      </c>
      <c r="J758" t="s">
        <v>453</v>
      </c>
      <c r="K758" s="20">
        <v>29.9</v>
      </c>
      <c r="L758">
        <f ca="1">TRUNC((TODAY()-tBase[[#This Row],[Data Nascimento]])/365)</f>
        <v>63</v>
      </c>
      <c r="M758" t="str">
        <f ca="1">HLOOKUP(tBase[[#This Row],[Idade]],$O$3:$R$4,2,TRUE)</f>
        <v>54-70</v>
      </c>
    </row>
    <row r="759" spans="2:13">
      <c r="B759" s="19">
        <v>92768661715</v>
      </c>
      <c r="C759" t="s">
        <v>271</v>
      </c>
      <c r="D759" t="s">
        <v>5</v>
      </c>
      <c r="E759" t="s">
        <v>417</v>
      </c>
      <c r="F759" t="s">
        <v>12</v>
      </c>
      <c r="G759" t="s">
        <v>424</v>
      </c>
      <c r="H759" s="1">
        <v>31078</v>
      </c>
      <c r="I759" s="1" t="s">
        <v>433</v>
      </c>
      <c r="J759" t="s">
        <v>456</v>
      </c>
      <c r="K759" s="20">
        <v>79.900000000000006</v>
      </c>
      <c r="L759">
        <f ca="1">TRUNC((TODAY()-tBase[[#This Row],[Data Nascimento]])/365)</f>
        <v>41</v>
      </c>
      <c r="M759" t="str">
        <f ca="1">HLOOKUP(tBase[[#This Row],[Idade]],$O$3:$R$4,2,TRUE)</f>
        <v>35 - 44</v>
      </c>
    </row>
    <row r="760" spans="2:13">
      <c r="B760" s="19">
        <v>92851862378</v>
      </c>
      <c r="C760" t="s">
        <v>72</v>
      </c>
      <c r="D760" t="s">
        <v>5</v>
      </c>
      <c r="E760" t="s">
        <v>8</v>
      </c>
      <c r="F760" t="s">
        <v>13</v>
      </c>
      <c r="G760" t="s">
        <v>425</v>
      </c>
      <c r="H760" s="1">
        <v>30872</v>
      </c>
      <c r="I760" s="1" t="s">
        <v>429</v>
      </c>
      <c r="J760" t="s">
        <v>454</v>
      </c>
      <c r="K760" s="20">
        <v>35.9</v>
      </c>
      <c r="L760">
        <f ca="1">TRUNC((TODAY()-tBase[[#This Row],[Data Nascimento]])/365)</f>
        <v>41</v>
      </c>
      <c r="M760" t="str">
        <f ca="1">HLOOKUP(tBase[[#This Row],[Idade]],$O$3:$R$4,2,TRUE)</f>
        <v>35 - 44</v>
      </c>
    </row>
    <row r="761" spans="2:13">
      <c r="B761" s="19">
        <v>92908961862</v>
      </c>
      <c r="C761" t="s">
        <v>28</v>
      </c>
      <c r="D761" t="s">
        <v>5</v>
      </c>
      <c r="E761" t="s">
        <v>416</v>
      </c>
      <c r="F761" t="s">
        <v>14</v>
      </c>
      <c r="G761" t="s">
        <v>425</v>
      </c>
      <c r="H761" s="1">
        <v>26841</v>
      </c>
      <c r="I761" s="1" t="s">
        <v>432</v>
      </c>
      <c r="J761" t="s">
        <v>453</v>
      </c>
      <c r="K761" s="20">
        <v>29.9</v>
      </c>
      <c r="L761">
        <f ca="1">TRUNC((TODAY()-tBase[[#This Row],[Data Nascimento]])/365)</f>
        <v>52</v>
      </c>
      <c r="M761" t="str">
        <f ca="1">HLOOKUP(tBase[[#This Row],[Idade]],$O$3:$R$4,2,TRUE)</f>
        <v>44 - 54</v>
      </c>
    </row>
    <row r="762" spans="2:13">
      <c r="B762" s="19">
        <v>92967114176</v>
      </c>
      <c r="C762" t="s">
        <v>208</v>
      </c>
      <c r="D762" t="s">
        <v>6</v>
      </c>
      <c r="E762" t="s">
        <v>416</v>
      </c>
      <c r="F762" t="s">
        <v>14</v>
      </c>
      <c r="G762" t="s">
        <v>425</v>
      </c>
      <c r="H762" s="1">
        <v>34170</v>
      </c>
      <c r="I762" s="1" t="s">
        <v>436</v>
      </c>
      <c r="J762" t="s">
        <v>453</v>
      </c>
      <c r="K762" s="20">
        <v>29.9</v>
      </c>
      <c r="L762">
        <f ca="1">TRUNC((TODAY()-tBase[[#This Row],[Data Nascimento]])/365)</f>
        <v>32</v>
      </c>
      <c r="M762" t="str">
        <f ca="1">HLOOKUP(tBase[[#This Row],[Idade]],$O$3:$R$4,2,TRUE)</f>
        <v>24-34</v>
      </c>
    </row>
    <row r="763" spans="2:13">
      <c r="B763" s="19">
        <v>93080185386</v>
      </c>
      <c r="C763" t="s">
        <v>82</v>
      </c>
      <c r="D763" t="s">
        <v>5</v>
      </c>
      <c r="E763" t="s">
        <v>8</v>
      </c>
      <c r="F763" t="s">
        <v>14</v>
      </c>
      <c r="G763" t="s">
        <v>424</v>
      </c>
      <c r="H763" s="1">
        <v>24809</v>
      </c>
      <c r="I763" s="1" t="s">
        <v>436</v>
      </c>
      <c r="J763" t="s">
        <v>453</v>
      </c>
      <c r="K763" s="20">
        <v>29.9</v>
      </c>
      <c r="L763">
        <f ca="1">TRUNC((TODAY()-tBase[[#This Row],[Data Nascimento]])/365)</f>
        <v>58</v>
      </c>
      <c r="M763" t="str">
        <f ca="1">HLOOKUP(tBase[[#This Row],[Idade]],$O$3:$R$4,2,TRUE)</f>
        <v>54-70</v>
      </c>
    </row>
    <row r="764" spans="2:13">
      <c r="B764" s="19">
        <v>93087822464</v>
      </c>
      <c r="C764" t="s">
        <v>64</v>
      </c>
      <c r="D764" t="s">
        <v>5</v>
      </c>
      <c r="E764" t="s">
        <v>417</v>
      </c>
      <c r="F764" t="s">
        <v>14</v>
      </c>
      <c r="G764" t="s">
        <v>425</v>
      </c>
      <c r="H764" s="1">
        <v>29740</v>
      </c>
      <c r="I764" s="1" t="s">
        <v>436</v>
      </c>
      <c r="J764" t="s">
        <v>453</v>
      </c>
      <c r="K764" s="20">
        <v>29.9</v>
      </c>
      <c r="L764">
        <f ca="1">TRUNC((TODAY()-tBase[[#This Row],[Data Nascimento]])/365)</f>
        <v>44</v>
      </c>
      <c r="M764" t="str">
        <f ca="1">HLOOKUP(tBase[[#This Row],[Idade]],$O$3:$R$4,2,TRUE)</f>
        <v>44 - 54</v>
      </c>
    </row>
    <row r="765" spans="2:13">
      <c r="B765" s="19">
        <v>93174372517</v>
      </c>
      <c r="C765" t="s">
        <v>366</v>
      </c>
      <c r="D765" t="s">
        <v>5</v>
      </c>
      <c r="E765" t="s">
        <v>417</v>
      </c>
      <c r="F765" t="s">
        <v>11</v>
      </c>
      <c r="G765" t="s">
        <v>426</v>
      </c>
      <c r="H765" s="1">
        <v>28633</v>
      </c>
      <c r="I765" s="1" t="s">
        <v>436</v>
      </c>
      <c r="J765" t="s">
        <v>456</v>
      </c>
      <c r="K765" s="20">
        <v>79.900000000000006</v>
      </c>
      <c r="L765">
        <f ca="1">TRUNC((TODAY()-tBase[[#This Row],[Data Nascimento]])/365)</f>
        <v>47</v>
      </c>
      <c r="M765" t="str">
        <f ca="1">HLOOKUP(tBase[[#This Row],[Idade]],$O$3:$R$4,2,TRUE)</f>
        <v>44 - 54</v>
      </c>
    </row>
    <row r="766" spans="2:13">
      <c r="B766" s="19">
        <v>93661850588</v>
      </c>
      <c r="C766" t="s">
        <v>203</v>
      </c>
      <c r="D766" t="s">
        <v>5</v>
      </c>
      <c r="E766" t="s">
        <v>7</v>
      </c>
      <c r="F766" t="s">
        <v>13</v>
      </c>
      <c r="G766" t="s">
        <v>424</v>
      </c>
      <c r="H766" s="1">
        <v>30271</v>
      </c>
      <c r="I766" s="1" t="s">
        <v>436</v>
      </c>
      <c r="J766" t="s">
        <v>453</v>
      </c>
      <c r="K766" s="20">
        <v>29.9</v>
      </c>
      <c r="L766">
        <f ca="1">TRUNC((TODAY()-tBase[[#This Row],[Data Nascimento]])/365)</f>
        <v>43</v>
      </c>
      <c r="M766" t="str">
        <f ca="1">HLOOKUP(tBase[[#This Row],[Idade]],$O$3:$R$4,2,TRUE)</f>
        <v>35 - 44</v>
      </c>
    </row>
    <row r="767" spans="2:13">
      <c r="B767" s="19">
        <v>94266497658</v>
      </c>
      <c r="C767" t="s">
        <v>361</v>
      </c>
      <c r="D767" t="s">
        <v>6</v>
      </c>
      <c r="E767" t="s">
        <v>417</v>
      </c>
      <c r="F767" t="s">
        <v>12</v>
      </c>
      <c r="G767" t="s">
        <v>425</v>
      </c>
      <c r="H767" s="1">
        <v>33715</v>
      </c>
      <c r="I767" s="1" t="s">
        <v>436</v>
      </c>
      <c r="J767" t="s">
        <v>454</v>
      </c>
      <c r="K767" s="20">
        <v>35.9</v>
      </c>
      <c r="L767">
        <f ca="1">TRUNC((TODAY()-tBase[[#This Row],[Data Nascimento]])/365)</f>
        <v>33</v>
      </c>
      <c r="M767" t="str">
        <f ca="1">HLOOKUP(tBase[[#This Row],[Idade]],$O$3:$R$4,2,TRUE)</f>
        <v>24-34</v>
      </c>
    </row>
    <row r="768" spans="2:13">
      <c r="B768" s="19">
        <v>94367151573</v>
      </c>
      <c r="C768" t="s">
        <v>350</v>
      </c>
      <c r="D768" t="s">
        <v>6</v>
      </c>
      <c r="E768" t="s">
        <v>7</v>
      </c>
      <c r="F768" t="s">
        <v>13</v>
      </c>
      <c r="G768" t="s">
        <v>426</v>
      </c>
      <c r="H768" s="1">
        <v>30154</v>
      </c>
      <c r="I768" s="1" t="s">
        <v>435</v>
      </c>
      <c r="J768" t="s">
        <v>455</v>
      </c>
      <c r="K768" s="20">
        <v>9.9</v>
      </c>
      <c r="L768">
        <f ca="1">TRUNC((TODAY()-tBase[[#This Row],[Data Nascimento]])/365)</f>
        <v>43</v>
      </c>
      <c r="M768" t="str">
        <f ca="1">HLOOKUP(tBase[[#This Row],[Idade]],$O$3:$R$4,2,TRUE)</f>
        <v>35 - 44</v>
      </c>
    </row>
    <row r="769" spans="2:13">
      <c r="B769" s="19">
        <v>94460718865</v>
      </c>
      <c r="C769" t="s">
        <v>56</v>
      </c>
      <c r="D769" t="s">
        <v>5</v>
      </c>
      <c r="E769" t="s">
        <v>7</v>
      </c>
      <c r="F769" t="s">
        <v>13</v>
      </c>
      <c r="G769" t="s">
        <v>426</v>
      </c>
      <c r="H769" s="1">
        <v>24035</v>
      </c>
      <c r="I769" s="1" t="s">
        <v>433</v>
      </c>
      <c r="J769" t="s">
        <v>453</v>
      </c>
      <c r="K769" s="20">
        <v>29.9</v>
      </c>
      <c r="L769">
        <f ca="1">TRUNC((TODAY()-tBase[[#This Row],[Data Nascimento]])/365)</f>
        <v>60</v>
      </c>
      <c r="M769" t="str">
        <f ca="1">HLOOKUP(tBase[[#This Row],[Idade]],$O$3:$R$4,2,TRUE)</f>
        <v>54-70</v>
      </c>
    </row>
    <row r="770" spans="2:13">
      <c r="B770" s="19">
        <v>94559470168</v>
      </c>
      <c r="C770" t="s">
        <v>206</v>
      </c>
      <c r="D770" t="s">
        <v>5</v>
      </c>
      <c r="E770" t="s">
        <v>417</v>
      </c>
      <c r="F770" t="s">
        <v>13</v>
      </c>
      <c r="G770" t="s">
        <v>426</v>
      </c>
      <c r="H770" s="1">
        <v>36149</v>
      </c>
      <c r="I770" s="1" t="s">
        <v>433</v>
      </c>
      <c r="J770" t="s">
        <v>455</v>
      </c>
      <c r="K770" s="20">
        <v>9.9</v>
      </c>
      <c r="L770">
        <f ca="1">TRUNC((TODAY()-tBase[[#This Row],[Data Nascimento]])/365)</f>
        <v>27</v>
      </c>
      <c r="M770" t="str">
        <f ca="1">HLOOKUP(tBase[[#This Row],[Idade]],$O$3:$R$4,2,TRUE)</f>
        <v>24-34</v>
      </c>
    </row>
    <row r="771" spans="2:13">
      <c r="B771" s="19">
        <v>94583059920</v>
      </c>
      <c r="C771" t="s">
        <v>329</v>
      </c>
      <c r="D771" t="s">
        <v>5</v>
      </c>
      <c r="E771" t="s">
        <v>8</v>
      </c>
      <c r="F771" t="s">
        <v>427</v>
      </c>
      <c r="G771" t="s">
        <v>424</v>
      </c>
      <c r="H771" s="1">
        <v>28578</v>
      </c>
      <c r="I771" s="1" t="s">
        <v>433</v>
      </c>
      <c r="J771" t="s">
        <v>454</v>
      </c>
      <c r="K771" s="20">
        <v>35.9</v>
      </c>
      <c r="L771">
        <f ca="1">TRUNC((TODAY()-tBase[[#This Row],[Data Nascimento]])/365)</f>
        <v>47</v>
      </c>
      <c r="M771" t="str">
        <f ca="1">HLOOKUP(tBase[[#This Row],[Idade]],$O$3:$R$4,2,TRUE)</f>
        <v>44 - 54</v>
      </c>
    </row>
    <row r="772" spans="2:13">
      <c r="B772" s="19">
        <v>94654130097</v>
      </c>
      <c r="C772" t="s">
        <v>179</v>
      </c>
      <c r="D772" t="s">
        <v>5</v>
      </c>
      <c r="E772" t="s">
        <v>8</v>
      </c>
      <c r="F772" t="s">
        <v>13</v>
      </c>
      <c r="G772" t="s">
        <v>426</v>
      </c>
      <c r="H772" s="1">
        <v>34894</v>
      </c>
      <c r="I772" s="1" t="s">
        <v>433</v>
      </c>
      <c r="J772" t="s">
        <v>453</v>
      </c>
      <c r="K772" s="20">
        <v>29.9</v>
      </c>
      <c r="L772">
        <f ca="1">TRUNC((TODAY()-tBase[[#This Row],[Data Nascimento]])/365)</f>
        <v>30</v>
      </c>
      <c r="M772" t="str">
        <f ca="1">HLOOKUP(tBase[[#This Row],[Idade]],$O$3:$R$4,2,TRUE)</f>
        <v>24-34</v>
      </c>
    </row>
    <row r="773" spans="2:13">
      <c r="B773" s="19">
        <v>95202710429</v>
      </c>
      <c r="C773" t="s">
        <v>226</v>
      </c>
      <c r="D773" t="s">
        <v>5</v>
      </c>
      <c r="E773" t="s">
        <v>417</v>
      </c>
      <c r="F773" t="s">
        <v>14</v>
      </c>
      <c r="G773" t="s">
        <v>426</v>
      </c>
      <c r="H773" s="1">
        <v>24300</v>
      </c>
      <c r="I773" s="1" t="s">
        <v>433</v>
      </c>
      <c r="J773" t="s">
        <v>453</v>
      </c>
      <c r="K773" s="20">
        <v>29.9</v>
      </c>
      <c r="L773">
        <f ca="1">TRUNC((TODAY()-tBase[[#This Row],[Data Nascimento]])/365)</f>
        <v>59</v>
      </c>
      <c r="M773" t="str">
        <f ca="1">HLOOKUP(tBase[[#This Row],[Idade]],$O$3:$R$4,2,TRUE)</f>
        <v>54-70</v>
      </c>
    </row>
    <row r="774" spans="2:13">
      <c r="B774" s="19">
        <v>95305432346</v>
      </c>
      <c r="C774" t="s">
        <v>395</v>
      </c>
      <c r="D774" t="s">
        <v>5</v>
      </c>
      <c r="E774" t="s">
        <v>417</v>
      </c>
      <c r="F774" t="s">
        <v>13</v>
      </c>
      <c r="G774" t="s">
        <v>425</v>
      </c>
      <c r="H774" s="1">
        <v>27046</v>
      </c>
      <c r="I774" s="1" t="s">
        <v>430</v>
      </c>
      <c r="J774" t="s">
        <v>453</v>
      </c>
      <c r="K774" s="20">
        <v>29.9</v>
      </c>
      <c r="L774">
        <f ca="1">TRUNC((TODAY()-tBase[[#This Row],[Data Nascimento]])/365)</f>
        <v>52</v>
      </c>
      <c r="M774" t="str">
        <f ca="1">HLOOKUP(tBase[[#This Row],[Idade]],$O$3:$R$4,2,TRUE)</f>
        <v>44 - 54</v>
      </c>
    </row>
    <row r="775" spans="2:13">
      <c r="B775" s="19">
        <v>95580971716</v>
      </c>
      <c r="C775" t="s">
        <v>214</v>
      </c>
      <c r="D775" t="s">
        <v>6</v>
      </c>
      <c r="E775" t="s">
        <v>417</v>
      </c>
      <c r="F775" t="s">
        <v>427</v>
      </c>
      <c r="G775" t="s">
        <v>425</v>
      </c>
      <c r="H775" s="1">
        <v>32835</v>
      </c>
      <c r="I775" s="1" t="s">
        <v>429</v>
      </c>
      <c r="J775" t="s">
        <v>453</v>
      </c>
      <c r="K775" s="20">
        <v>29.9</v>
      </c>
      <c r="L775">
        <f ca="1">TRUNC((TODAY()-tBase[[#This Row],[Data Nascimento]])/365)</f>
        <v>36</v>
      </c>
      <c r="M775" t="str">
        <f ca="1">HLOOKUP(tBase[[#This Row],[Idade]],$O$3:$R$4,2,TRUE)</f>
        <v>35 - 44</v>
      </c>
    </row>
    <row r="776" spans="2:13">
      <c r="B776" s="19">
        <v>95596945437</v>
      </c>
      <c r="C776" t="s">
        <v>387</v>
      </c>
      <c r="D776" t="s">
        <v>6</v>
      </c>
      <c r="E776" t="s">
        <v>7</v>
      </c>
      <c r="F776" t="s">
        <v>9</v>
      </c>
      <c r="G776" t="s">
        <v>425</v>
      </c>
      <c r="H776" s="1">
        <v>35092</v>
      </c>
      <c r="I776" s="1" t="s">
        <v>431</v>
      </c>
      <c r="J776" t="s">
        <v>455</v>
      </c>
      <c r="K776" s="20">
        <v>9.9</v>
      </c>
      <c r="L776">
        <f ca="1">TRUNC((TODAY()-tBase[[#This Row],[Data Nascimento]])/365)</f>
        <v>30</v>
      </c>
      <c r="M776" t="str">
        <f ca="1">HLOOKUP(tBase[[#This Row],[Idade]],$O$3:$R$4,2,TRUE)</f>
        <v>24-34</v>
      </c>
    </row>
    <row r="777" spans="2:13">
      <c r="B777" s="19">
        <v>95707970101</v>
      </c>
      <c r="C777" t="s">
        <v>79</v>
      </c>
      <c r="D777" t="s">
        <v>6</v>
      </c>
      <c r="E777" t="s">
        <v>8</v>
      </c>
      <c r="F777" t="s">
        <v>12</v>
      </c>
      <c r="G777" t="s">
        <v>425</v>
      </c>
      <c r="H777" s="1">
        <v>23655</v>
      </c>
      <c r="I777" s="1" t="s">
        <v>432</v>
      </c>
      <c r="J777" t="s">
        <v>456</v>
      </c>
      <c r="K777" s="20">
        <v>79.900000000000006</v>
      </c>
      <c r="L777">
        <f ca="1">TRUNC((TODAY()-tBase[[#This Row],[Data Nascimento]])/365)</f>
        <v>61</v>
      </c>
      <c r="M777" t="str">
        <f ca="1">HLOOKUP(tBase[[#This Row],[Idade]],$O$3:$R$4,2,TRUE)</f>
        <v>54-70</v>
      </c>
    </row>
    <row r="778" spans="2:13">
      <c r="B778" s="19">
        <v>95717759227</v>
      </c>
      <c r="C778" t="s">
        <v>146</v>
      </c>
      <c r="D778" t="s">
        <v>6</v>
      </c>
      <c r="E778" t="s">
        <v>417</v>
      </c>
      <c r="F778" t="s">
        <v>13</v>
      </c>
      <c r="G778" t="s">
        <v>426</v>
      </c>
      <c r="H778" s="1">
        <v>31254</v>
      </c>
      <c r="I778" s="1" t="s">
        <v>434</v>
      </c>
      <c r="J778" t="s">
        <v>456</v>
      </c>
      <c r="K778" s="20">
        <v>79.900000000000006</v>
      </c>
      <c r="L778">
        <f ca="1">TRUNC((TODAY()-tBase[[#This Row],[Data Nascimento]])/365)</f>
        <v>40</v>
      </c>
      <c r="M778" t="str">
        <f ca="1">HLOOKUP(tBase[[#This Row],[Idade]],$O$3:$R$4,2,TRUE)</f>
        <v>35 - 44</v>
      </c>
    </row>
    <row r="779" spans="2:13">
      <c r="B779" s="19">
        <v>95777582172</v>
      </c>
      <c r="C779" t="s">
        <v>370</v>
      </c>
      <c r="D779" t="s">
        <v>5</v>
      </c>
      <c r="E779" t="s">
        <v>7</v>
      </c>
      <c r="F779" t="s">
        <v>14</v>
      </c>
      <c r="G779" t="s">
        <v>426</v>
      </c>
      <c r="H779" s="1">
        <v>32769</v>
      </c>
      <c r="I779" s="1" t="s">
        <v>430</v>
      </c>
      <c r="J779" t="s">
        <v>453</v>
      </c>
      <c r="K779" s="20">
        <v>29.9</v>
      </c>
      <c r="L779">
        <f ca="1">TRUNC((TODAY()-tBase[[#This Row],[Data Nascimento]])/365)</f>
        <v>36</v>
      </c>
      <c r="M779" t="str">
        <f ca="1">HLOOKUP(tBase[[#This Row],[Idade]],$O$3:$R$4,2,TRUE)</f>
        <v>35 - 44</v>
      </c>
    </row>
    <row r="780" spans="2:13">
      <c r="B780" s="19">
        <v>96142770610</v>
      </c>
      <c r="C780" t="s">
        <v>301</v>
      </c>
      <c r="D780" t="s">
        <v>5</v>
      </c>
      <c r="E780" t="s">
        <v>417</v>
      </c>
      <c r="F780" t="s">
        <v>427</v>
      </c>
      <c r="G780" t="s">
        <v>425</v>
      </c>
      <c r="H780" s="1">
        <v>24217</v>
      </c>
      <c r="I780" s="1" t="s">
        <v>435</v>
      </c>
      <c r="J780" t="s">
        <v>454</v>
      </c>
      <c r="K780" s="20">
        <v>35.9</v>
      </c>
      <c r="L780">
        <f ca="1">TRUNC((TODAY()-tBase[[#This Row],[Data Nascimento]])/365)</f>
        <v>59</v>
      </c>
      <c r="M780" t="str">
        <f ca="1">HLOOKUP(tBase[[#This Row],[Idade]],$O$3:$R$4,2,TRUE)</f>
        <v>54-70</v>
      </c>
    </row>
    <row r="781" spans="2:13">
      <c r="B781" s="19">
        <v>96189222892</v>
      </c>
      <c r="C781" t="s">
        <v>103</v>
      </c>
      <c r="D781" t="s">
        <v>6</v>
      </c>
      <c r="E781" t="s">
        <v>7</v>
      </c>
      <c r="F781" t="s">
        <v>12</v>
      </c>
      <c r="G781" t="s">
        <v>424</v>
      </c>
      <c r="H781" s="1">
        <v>27862</v>
      </c>
      <c r="I781" s="1" t="s">
        <v>436</v>
      </c>
      <c r="J781" t="s">
        <v>456</v>
      </c>
      <c r="K781" s="20">
        <v>79.900000000000006</v>
      </c>
      <c r="L781">
        <f ca="1">TRUNC((TODAY()-tBase[[#This Row],[Data Nascimento]])/365)</f>
        <v>49</v>
      </c>
      <c r="M781" t="str">
        <f ca="1">HLOOKUP(tBase[[#This Row],[Idade]],$O$3:$R$4,2,TRUE)</f>
        <v>44 - 54</v>
      </c>
    </row>
    <row r="782" spans="2:13">
      <c r="B782" s="19">
        <v>96207993803</v>
      </c>
      <c r="C782" t="s">
        <v>221</v>
      </c>
      <c r="D782" t="s">
        <v>5</v>
      </c>
      <c r="E782" t="s">
        <v>417</v>
      </c>
      <c r="F782" t="s">
        <v>427</v>
      </c>
      <c r="G782" t="s">
        <v>425</v>
      </c>
      <c r="H782" s="1">
        <v>31971</v>
      </c>
      <c r="I782" s="1" t="s">
        <v>430</v>
      </c>
      <c r="J782" t="s">
        <v>454</v>
      </c>
      <c r="K782" s="20">
        <v>35.9</v>
      </c>
      <c r="L782">
        <f ca="1">TRUNC((TODAY()-tBase[[#This Row],[Data Nascimento]])/365)</f>
        <v>38</v>
      </c>
      <c r="M782" t="str">
        <f ca="1">HLOOKUP(tBase[[#This Row],[Idade]],$O$3:$R$4,2,TRUE)</f>
        <v>35 - 44</v>
      </c>
    </row>
    <row r="783" spans="2:13">
      <c r="B783" s="19">
        <v>96469060945</v>
      </c>
      <c r="C783" t="s">
        <v>109</v>
      </c>
      <c r="D783" t="s">
        <v>5</v>
      </c>
      <c r="E783" t="s">
        <v>8</v>
      </c>
      <c r="F783" t="s">
        <v>427</v>
      </c>
      <c r="G783" t="s">
        <v>426</v>
      </c>
      <c r="H783" s="1">
        <v>25830</v>
      </c>
      <c r="I783" s="1" t="s">
        <v>435</v>
      </c>
      <c r="J783" t="s">
        <v>454</v>
      </c>
      <c r="K783" s="20">
        <v>35.9</v>
      </c>
      <c r="L783">
        <f ca="1">TRUNC((TODAY()-tBase[[#This Row],[Data Nascimento]])/365)</f>
        <v>55</v>
      </c>
      <c r="M783" t="str">
        <f ca="1">HLOOKUP(tBase[[#This Row],[Idade]],$O$3:$R$4,2,TRUE)</f>
        <v>54-70</v>
      </c>
    </row>
    <row r="784" spans="2:13">
      <c r="B784" s="19">
        <v>96498559182</v>
      </c>
      <c r="C784" t="s">
        <v>38</v>
      </c>
      <c r="D784" t="s">
        <v>5</v>
      </c>
      <c r="E784" t="s">
        <v>417</v>
      </c>
      <c r="F784" t="s">
        <v>13</v>
      </c>
      <c r="G784" t="s">
        <v>426</v>
      </c>
      <c r="H784" s="1">
        <v>31923</v>
      </c>
      <c r="I784" s="1" t="s">
        <v>436</v>
      </c>
      <c r="J784" t="s">
        <v>455</v>
      </c>
      <c r="K784" s="20">
        <v>9.9</v>
      </c>
      <c r="L784">
        <f ca="1">TRUNC((TODAY()-tBase[[#This Row],[Data Nascimento]])/365)</f>
        <v>38</v>
      </c>
      <c r="M784" t="str">
        <f ca="1">HLOOKUP(tBase[[#This Row],[Idade]],$O$3:$R$4,2,TRUE)</f>
        <v>35 - 44</v>
      </c>
    </row>
    <row r="785" spans="2:13">
      <c r="B785" s="19">
        <v>96683513690</v>
      </c>
      <c r="C785" t="s">
        <v>23</v>
      </c>
      <c r="D785" t="s">
        <v>6</v>
      </c>
      <c r="E785" t="s">
        <v>7</v>
      </c>
      <c r="F785" t="s">
        <v>427</v>
      </c>
      <c r="G785" t="s">
        <v>424</v>
      </c>
      <c r="H785" s="1">
        <v>34631</v>
      </c>
      <c r="I785" s="1" t="s">
        <v>433</v>
      </c>
      <c r="J785" t="s">
        <v>453</v>
      </c>
      <c r="K785" s="20">
        <v>29.9</v>
      </c>
      <c r="L785">
        <f ca="1">TRUNC((TODAY()-tBase[[#This Row],[Data Nascimento]])/365)</f>
        <v>31</v>
      </c>
      <c r="M785" t="str">
        <f ca="1">HLOOKUP(tBase[[#This Row],[Idade]],$O$3:$R$4,2,TRUE)</f>
        <v>24-34</v>
      </c>
    </row>
    <row r="786" spans="2:13">
      <c r="B786" s="19">
        <v>96690867763</v>
      </c>
      <c r="C786" t="s">
        <v>53</v>
      </c>
      <c r="D786" t="s">
        <v>6</v>
      </c>
      <c r="E786" t="s">
        <v>7</v>
      </c>
      <c r="F786" t="s">
        <v>427</v>
      </c>
      <c r="G786" t="s">
        <v>424</v>
      </c>
      <c r="H786" s="1">
        <v>23740</v>
      </c>
      <c r="I786" s="1" t="s">
        <v>433</v>
      </c>
      <c r="J786" t="s">
        <v>454</v>
      </c>
      <c r="K786" s="20">
        <v>35.9</v>
      </c>
      <c r="L786">
        <f ca="1">TRUNC((TODAY()-tBase[[#This Row],[Data Nascimento]])/365)</f>
        <v>61</v>
      </c>
      <c r="M786" t="str">
        <f ca="1">HLOOKUP(tBase[[#This Row],[Idade]],$O$3:$R$4,2,TRUE)</f>
        <v>54-70</v>
      </c>
    </row>
    <row r="787" spans="2:13">
      <c r="B787" s="19">
        <v>96730763444</v>
      </c>
      <c r="C787" t="s">
        <v>189</v>
      </c>
      <c r="D787" t="s">
        <v>5</v>
      </c>
      <c r="E787" t="s">
        <v>418</v>
      </c>
      <c r="F787" t="s">
        <v>427</v>
      </c>
      <c r="G787" t="s">
        <v>426</v>
      </c>
      <c r="H787" s="1">
        <v>27917</v>
      </c>
      <c r="I787" s="1" t="s">
        <v>433</v>
      </c>
      <c r="J787" t="s">
        <v>455</v>
      </c>
      <c r="K787" s="20">
        <v>9.9</v>
      </c>
      <c r="L787">
        <f ca="1">TRUNC((TODAY()-tBase[[#This Row],[Data Nascimento]])/365)</f>
        <v>49</v>
      </c>
      <c r="M787" t="str">
        <f ca="1">HLOOKUP(tBase[[#This Row],[Idade]],$O$3:$R$4,2,TRUE)</f>
        <v>44 - 54</v>
      </c>
    </row>
    <row r="788" spans="2:13">
      <c r="B788" s="19">
        <v>96777910303</v>
      </c>
      <c r="C788" t="s">
        <v>87</v>
      </c>
      <c r="D788" t="s">
        <v>6</v>
      </c>
      <c r="E788" t="s">
        <v>7</v>
      </c>
      <c r="F788" t="s">
        <v>9</v>
      </c>
      <c r="G788" t="s">
        <v>425</v>
      </c>
      <c r="H788" s="1">
        <v>22684</v>
      </c>
      <c r="I788" s="1" t="s">
        <v>433</v>
      </c>
      <c r="J788" t="s">
        <v>453</v>
      </c>
      <c r="K788" s="20">
        <v>29.9</v>
      </c>
      <c r="L788">
        <f ca="1">TRUNC((TODAY()-tBase[[#This Row],[Data Nascimento]])/365)</f>
        <v>64</v>
      </c>
      <c r="M788" t="str">
        <f ca="1">HLOOKUP(tBase[[#This Row],[Idade]],$O$3:$R$4,2,TRUE)</f>
        <v>54-70</v>
      </c>
    </row>
    <row r="789" spans="2:13">
      <c r="B789" s="19">
        <v>97043215141</v>
      </c>
      <c r="C789" t="s">
        <v>306</v>
      </c>
      <c r="D789" t="s">
        <v>6</v>
      </c>
      <c r="E789" t="s">
        <v>416</v>
      </c>
      <c r="F789" t="s">
        <v>11</v>
      </c>
      <c r="G789" t="s">
        <v>426</v>
      </c>
      <c r="H789" s="1">
        <v>29357</v>
      </c>
      <c r="I789" s="1" t="s">
        <v>433</v>
      </c>
      <c r="J789" t="s">
        <v>456</v>
      </c>
      <c r="K789" s="20">
        <v>79.900000000000006</v>
      </c>
      <c r="L789">
        <f ca="1">TRUNC((TODAY()-tBase[[#This Row],[Data Nascimento]])/365)</f>
        <v>45</v>
      </c>
      <c r="M789" t="str">
        <f ca="1">HLOOKUP(tBase[[#This Row],[Idade]],$O$3:$R$4,2,TRUE)</f>
        <v>44 - 54</v>
      </c>
    </row>
    <row r="790" spans="2:13">
      <c r="B790" s="19">
        <v>97361141928</v>
      </c>
      <c r="C790" t="s">
        <v>383</v>
      </c>
      <c r="D790" t="s">
        <v>6</v>
      </c>
      <c r="E790" t="s">
        <v>7</v>
      </c>
      <c r="F790" t="s">
        <v>427</v>
      </c>
      <c r="G790" t="s">
        <v>424</v>
      </c>
      <c r="H790" s="1">
        <v>32123</v>
      </c>
      <c r="I790" s="1" t="s">
        <v>433</v>
      </c>
      <c r="J790" t="s">
        <v>453</v>
      </c>
      <c r="K790" s="20">
        <v>29.9</v>
      </c>
      <c r="L790">
        <f ca="1">TRUNC((TODAY()-tBase[[#This Row],[Data Nascimento]])/365)</f>
        <v>38</v>
      </c>
      <c r="M790" t="str">
        <f ca="1">HLOOKUP(tBase[[#This Row],[Idade]],$O$3:$R$4,2,TRUE)</f>
        <v>35 - 44</v>
      </c>
    </row>
    <row r="791" spans="2:13">
      <c r="B791" s="19">
        <v>97520904627</v>
      </c>
      <c r="C791" t="s">
        <v>348</v>
      </c>
      <c r="D791" t="s">
        <v>6</v>
      </c>
      <c r="E791" t="s">
        <v>416</v>
      </c>
      <c r="F791" t="s">
        <v>13</v>
      </c>
      <c r="G791" t="s">
        <v>425</v>
      </c>
      <c r="H791" s="1">
        <v>28812</v>
      </c>
      <c r="I791" s="1" t="s">
        <v>433</v>
      </c>
      <c r="J791" t="s">
        <v>455</v>
      </c>
      <c r="K791" s="20">
        <v>9.9</v>
      </c>
      <c r="L791">
        <f ca="1">TRUNC((TODAY()-tBase[[#This Row],[Data Nascimento]])/365)</f>
        <v>47</v>
      </c>
      <c r="M791" t="str">
        <f ca="1">HLOOKUP(tBase[[#This Row],[Idade]],$O$3:$R$4,2,TRUE)</f>
        <v>44 - 54</v>
      </c>
    </row>
    <row r="792" spans="2:13">
      <c r="B792" s="19">
        <v>97854794245</v>
      </c>
      <c r="C792" t="s">
        <v>176</v>
      </c>
      <c r="D792" t="s">
        <v>6</v>
      </c>
      <c r="E792" t="s">
        <v>7</v>
      </c>
      <c r="F792" t="s">
        <v>13</v>
      </c>
      <c r="G792" t="s">
        <v>426</v>
      </c>
      <c r="H792" s="1">
        <v>31566</v>
      </c>
      <c r="I792" s="1" t="s">
        <v>433</v>
      </c>
      <c r="J792" t="s">
        <v>453</v>
      </c>
      <c r="K792" s="20">
        <v>29.9</v>
      </c>
      <c r="L792">
        <f ca="1">TRUNC((TODAY()-tBase[[#This Row],[Data Nascimento]])/365)</f>
        <v>39</v>
      </c>
      <c r="M792" t="str">
        <f ca="1">HLOOKUP(tBase[[#This Row],[Idade]],$O$3:$R$4,2,TRUE)</f>
        <v>35 - 44</v>
      </c>
    </row>
    <row r="793" spans="2:13">
      <c r="B793" s="19">
        <v>97867342326</v>
      </c>
      <c r="C793" t="s">
        <v>74</v>
      </c>
      <c r="D793" t="s">
        <v>5</v>
      </c>
      <c r="E793" t="s">
        <v>417</v>
      </c>
      <c r="F793" t="s">
        <v>13</v>
      </c>
      <c r="G793" t="s">
        <v>425</v>
      </c>
      <c r="H793" s="1">
        <v>32872</v>
      </c>
      <c r="I793" s="1" t="s">
        <v>433</v>
      </c>
      <c r="J793" t="s">
        <v>456</v>
      </c>
      <c r="K793" s="20">
        <v>79.900000000000006</v>
      </c>
      <c r="L793">
        <f ca="1">TRUNC((TODAY()-tBase[[#This Row],[Data Nascimento]])/365)</f>
        <v>36</v>
      </c>
      <c r="M793" t="str">
        <f ca="1">HLOOKUP(tBase[[#This Row],[Idade]],$O$3:$R$4,2,TRUE)</f>
        <v>35 - 44</v>
      </c>
    </row>
    <row r="794" spans="2:13">
      <c r="B794" s="19">
        <v>97913428100</v>
      </c>
      <c r="C794" t="s">
        <v>388</v>
      </c>
      <c r="D794" t="s">
        <v>5</v>
      </c>
      <c r="E794" t="s">
        <v>416</v>
      </c>
      <c r="F794" t="s">
        <v>14</v>
      </c>
      <c r="G794" t="s">
        <v>425</v>
      </c>
      <c r="H794" s="1">
        <v>36451</v>
      </c>
      <c r="I794" s="1" t="s">
        <v>429</v>
      </c>
      <c r="J794" t="s">
        <v>453</v>
      </c>
      <c r="K794" s="20">
        <v>29.9</v>
      </c>
      <c r="L794">
        <f ca="1">TRUNC((TODAY()-tBase[[#This Row],[Data Nascimento]])/365)</f>
        <v>26</v>
      </c>
      <c r="M794" t="str">
        <f ca="1">HLOOKUP(tBase[[#This Row],[Idade]],$O$3:$R$4,2,TRUE)</f>
        <v>24-34</v>
      </c>
    </row>
    <row r="795" spans="2:13">
      <c r="B795" s="19">
        <v>98024981881</v>
      </c>
      <c r="C795" t="s">
        <v>160</v>
      </c>
      <c r="D795" t="s">
        <v>5</v>
      </c>
      <c r="E795" t="s">
        <v>7</v>
      </c>
      <c r="F795" t="s">
        <v>14</v>
      </c>
      <c r="G795" t="s">
        <v>426</v>
      </c>
      <c r="H795" s="1">
        <v>24077</v>
      </c>
      <c r="I795" s="1" t="s">
        <v>432</v>
      </c>
      <c r="J795" t="s">
        <v>453</v>
      </c>
      <c r="K795" s="20">
        <v>29.9</v>
      </c>
      <c r="L795">
        <f ca="1">TRUNC((TODAY()-tBase[[#This Row],[Data Nascimento]])/365)</f>
        <v>60</v>
      </c>
      <c r="M795" t="str">
        <f ca="1">HLOOKUP(tBase[[#This Row],[Idade]],$O$3:$R$4,2,TRUE)</f>
        <v>54-70</v>
      </c>
    </row>
    <row r="796" spans="2:13">
      <c r="B796" s="19">
        <v>98384039664</v>
      </c>
      <c r="C796" t="s">
        <v>154</v>
      </c>
      <c r="D796" t="s">
        <v>6</v>
      </c>
      <c r="E796" t="s">
        <v>417</v>
      </c>
      <c r="F796" t="s">
        <v>14</v>
      </c>
      <c r="G796" t="s">
        <v>425</v>
      </c>
      <c r="H796" s="1">
        <v>35468</v>
      </c>
      <c r="I796" s="1" t="s">
        <v>436</v>
      </c>
      <c r="J796" t="s">
        <v>453</v>
      </c>
      <c r="K796" s="20">
        <v>29.9</v>
      </c>
      <c r="L796">
        <f ca="1">TRUNC((TODAY()-tBase[[#This Row],[Data Nascimento]])/365)</f>
        <v>29</v>
      </c>
      <c r="M796" t="str">
        <f ca="1">HLOOKUP(tBase[[#This Row],[Idade]],$O$3:$R$4,2,TRUE)</f>
        <v>24-34</v>
      </c>
    </row>
    <row r="797" spans="2:13">
      <c r="B797" s="19">
        <v>98413368768</v>
      </c>
      <c r="C797" t="s">
        <v>156</v>
      </c>
      <c r="D797" t="s">
        <v>6</v>
      </c>
      <c r="E797" t="s">
        <v>7</v>
      </c>
      <c r="F797" t="s">
        <v>13</v>
      </c>
      <c r="G797" t="s">
        <v>426</v>
      </c>
      <c r="H797" s="1">
        <v>34629</v>
      </c>
      <c r="I797" s="1" t="s">
        <v>436</v>
      </c>
      <c r="J797" t="s">
        <v>455</v>
      </c>
      <c r="K797" s="20">
        <v>9.9</v>
      </c>
      <c r="L797">
        <f ca="1">TRUNC((TODAY()-tBase[[#This Row],[Data Nascimento]])/365)</f>
        <v>31</v>
      </c>
      <c r="M797" t="str">
        <f ca="1">HLOOKUP(tBase[[#This Row],[Idade]],$O$3:$R$4,2,TRUE)</f>
        <v>24-34</v>
      </c>
    </row>
    <row r="798" spans="2:13">
      <c r="B798" s="19">
        <v>98697109512</v>
      </c>
      <c r="C798" t="s">
        <v>411</v>
      </c>
      <c r="D798" t="s">
        <v>6</v>
      </c>
      <c r="E798" t="s">
        <v>416</v>
      </c>
      <c r="F798" t="s">
        <v>9</v>
      </c>
      <c r="G798" t="s">
        <v>424</v>
      </c>
      <c r="H798" s="1">
        <v>32523</v>
      </c>
      <c r="I798" s="1" t="s">
        <v>436</v>
      </c>
      <c r="J798" t="s">
        <v>455</v>
      </c>
      <c r="K798" s="20">
        <v>9.9</v>
      </c>
      <c r="L798">
        <f ca="1">TRUNC((TODAY()-tBase[[#This Row],[Data Nascimento]])/365)</f>
        <v>37</v>
      </c>
      <c r="M798" t="str">
        <f ca="1">HLOOKUP(tBase[[#This Row],[Idade]],$O$3:$R$4,2,TRUE)</f>
        <v>35 - 44</v>
      </c>
    </row>
    <row r="799" spans="2:13">
      <c r="B799" s="19">
        <v>99005827580</v>
      </c>
      <c r="C799" t="s">
        <v>341</v>
      </c>
      <c r="D799" t="s">
        <v>5</v>
      </c>
      <c r="E799" t="s">
        <v>417</v>
      </c>
      <c r="F799" t="s">
        <v>427</v>
      </c>
      <c r="G799" t="s">
        <v>425</v>
      </c>
      <c r="H799" s="1">
        <v>25870</v>
      </c>
      <c r="I799" s="1" t="s">
        <v>436</v>
      </c>
      <c r="J799" t="s">
        <v>454</v>
      </c>
      <c r="K799" s="20">
        <v>35.9</v>
      </c>
      <c r="L799">
        <f ca="1">TRUNC((TODAY()-tBase[[#This Row],[Data Nascimento]])/365)</f>
        <v>55</v>
      </c>
      <c r="M799" t="str">
        <f ca="1">HLOOKUP(tBase[[#This Row],[Idade]],$O$3:$R$4,2,TRUE)</f>
        <v>54-70</v>
      </c>
    </row>
    <row r="800" spans="2:13">
      <c r="B800" s="19">
        <v>99052709620</v>
      </c>
      <c r="C800" t="s">
        <v>284</v>
      </c>
      <c r="D800" t="s">
        <v>5</v>
      </c>
      <c r="E800" t="s">
        <v>418</v>
      </c>
      <c r="F800" t="s">
        <v>13</v>
      </c>
      <c r="G800" t="s">
        <v>425</v>
      </c>
      <c r="H800" s="1">
        <v>34192</v>
      </c>
      <c r="I800" s="1" t="s">
        <v>436</v>
      </c>
      <c r="J800" t="s">
        <v>455</v>
      </c>
      <c r="K800" s="20">
        <v>9.9</v>
      </c>
      <c r="L800">
        <f ca="1">TRUNC((TODAY()-tBase[[#This Row],[Data Nascimento]])/365)</f>
        <v>32</v>
      </c>
      <c r="M800" t="str">
        <f ca="1">HLOOKUP(tBase[[#This Row],[Idade]],$O$3:$R$4,2,TRUE)</f>
        <v>24-34</v>
      </c>
    </row>
    <row r="801" spans="2:13">
      <c r="B801" s="19">
        <v>99391394012</v>
      </c>
      <c r="C801" t="s">
        <v>24</v>
      </c>
      <c r="D801" t="s">
        <v>5</v>
      </c>
      <c r="E801" t="s">
        <v>417</v>
      </c>
      <c r="F801" t="s">
        <v>13</v>
      </c>
      <c r="G801" t="s">
        <v>425</v>
      </c>
      <c r="H801" s="1">
        <v>36312</v>
      </c>
      <c r="I801" s="1" t="s">
        <v>436</v>
      </c>
      <c r="J801" t="s">
        <v>454</v>
      </c>
      <c r="K801" s="20">
        <v>35.9</v>
      </c>
      <c r="L801">
        <f ca="1">TRUNC((TODAY()-tBase[[#This Row],[Data Nascimento]])/365)</f>
        <v>26</v>
      </c>
      <c r="M801" t="str">
        <f ca="1">HLOOKUP(tBase[[#This Row],[Idade]],$O$3:$R$4,2,TRUE)</f>
        <v>24-34</v>
      </c>
    </row>
    <row r="802" spans="2:13">
      <c r="B802" s="19">
        <v>99587124171</v>
      </c>
      <c r="C802" t="s">
        <v>296</v>
      </c>
      <c r="D802" t="s">
        <v>5</v>
      </c>
      <c r="E802" t="s">
        <v>7</v>
      </c>
      <c r="F802" t="s">
        <v>13</v>
      </c>
      <c r="G802" t="s">
        <v>426</v>
      </c>
      <c r="H802" s="1">
        <v>28112</v>
      </c>
      <c r="I802" s="1" t="s">
        <v>435</v>
      </c>
      <c r="J802" t="s">
        <v>453</v>
      </c>
      <c r="K802" s="20">
        <v>29.9</v>
      </c>
      <c r="L802">
        <f ca="1">TRUNC((TODAY()-tBase[[#This Row],[Data Nascimento]])/365)</f>
        <v>49</v>
      </c>
      <c r="M802" t="str">
        <f ca="1">HLOOKUP(tBase[[#This Row],[Idade]],$O$3:$R$4,2,TRUE)</f>
        <v>44 - 54</v>
      </c>
    </row>
    <row r="803" spans="2:13">
      <c r="B803" s="19">
        <v>99659049071</v>
      </c>
      <c r="C803" t="s">
        <v>274</v>
      </c>
      <c r="D803" t="s">
        <v>6</v>
      </c>
      <c r="E803" t="s">
        <v>417</v>
      </c>
      <c r="F803" t="s">
        <v>14</v>
      </c>
      <c r="G803" t="s">
        <v>425</v>
      </c>
      <c r="H803" s="1">
        <v>35229</v>
      </c>
      <c r="I803" s="1" t="s">
        <v>433</v>
      </c>
      <c r="J803" t="s">
        <v>453</v>
      </c>
      <c r="K803" s="20">
        <v>29.9</v>
      </c>
      <c r="L803">
        <f ca="1">TRUNC((TODAY()-tBase[[#This Row],[Data Nascimento]])/365)</f>
        <v>29</v>
      </c>
      <c r="M803" t="str">
        <f ca="1">HLOOKUP(tBase[[#This Row],[Idade]],$O$3:$R$4,2,TRUE)</f>
        <v>24-34</v>
      </c>
    </row>
    <row r="804" spans="2:13">
      <c r="B804" s="19">
        <v>99687496489</v>
      </c>
      <c r="C804" t="s">
        <v>312</v>
      </c>
      <c r="D804" t="s">
        <v>6</v>
      </c>
      <c r="E804" t="s">
        <v>8</v>
      </c>
      <c r="F804" t="s">
        <v>13</v>
      </c>
      <c r="G804" t="s">
        <v>425</v>
      </c>
      <c r="H804" s="1">
        <v>35163</v>
      </c>
      <c r="I804" s="1" t="s">
        <v>433</v>
      </c>
      <c r="J804" t="s">
        <v>454</v>
      </c>
      <c r="K804" s="20">
        <v>35.9</v>
      </c>
      <c r="L804">
        <f ca="1">TRUNC((TODAY()-tBase[[#This Row],[Data Nascimento]])/365)</f>
        <v>29</v>
      </c>
      <c r="M804" t="str">
        <f ca="1">HLOOKUP(tBase[[#This Row],[Idade]],$O$3:$R$4,2,TRUE)</f>
        <v>24-34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1A6C0-EA74-4BEC-9B56-B7291FEEF6CA}">
  <sheetPr>
    <tabColor theme="4"/>
  </sheetPr>
  <dimension ref="V27:W41"/>
  <sheetViews>
    <sheetView showGridLines="0" zoomScale="90" zoomScaleNormal="90" workbookViewId="0">
      <selection activeCell="H37" sqref="H37"/>
    </sheetView>
  </sheetViews>
  <sheetFormatPr defaultRowHeight="15"/>
  <sheetData>
    <row r="27" spans="22:23" ht="15.75">
      <c r="V27" s="8" t="s">
        <v>443</v>
      </c>
      <c r="W27" s="9"/>
    </row>
    <row r="28" spans="22:23" ht="15.75">
      <c r="V28" s="10" t="s">
        <v>442</v>
      </c>
      <c r="W28" s="9"/>
    </row>
    <row r="29" spans="22:23" ht="15.75">
      <c r="V29" s="9"/>
      <c r="W29" s="9"/>
    </row>
    <row r="30" spans="22:23" ht="15.75">
      <c r="V30" s="9"/>
      <c r="W30" s="9"/>
    </row>
    <row r="31" spans="22:23" ht="15.75">
      <c r="V31" s="8" t="s">
        <v>444</v>
      </c>
      <c r="W31" s="9"/>
    </row>
    <row r="32" spans="22:23" ht="15.75">
      <c r="V32" s="9"/>
      <c r="W32" s="9"/>
    </row>
    <row r="33" spans="22:23" ht="15.75">
      <c r="V33" s="11"/>
      <c r="W33" s="9" t="s">
        <v>440</v>
      </c>
    </row>
    <row r="34" spans="22:23" ht="15.75">
      <c r="V34" s="9"/>
      <c r="W34" s="9"/>
    </row>
    <row r="35" spans="22:23" ht="15.75">
      <c r="V35" s="12"/>
      <c r="W35" s="9" t="s">
        <v>441</v>
      </c>
    </row>
    <row r="36" spans="22:23" ht="15.75">
      <c r="V36" s="9"/>
      <c r="W36" s="9"/>
    </row>
    <row r="37" spans="22:23" ht="15.75">
      <c r="V37" s="13"/>
      <c r="W37" s="9" t="s">
        <v>437</v>
      </c>
    </row>
    <row r="38" spans="22:23" ht="15.75">
      <c r="V38" s="9"/>
      <c r="W38" s="9"/>
    </row>
    <row r="39" spans="22:23" ht="15.75">
      <c r="V39" s="14"/>
      <c r="W39" s="9" t="s">
        <v>438</v>
      </c>
    </row>
    <row r="40" spans="22:23" ht="15.75">
      <c r="V40" s="9"/>
      <c r="W40" s="9"/>
    </row>
    <row r="41" spans="22:23" ht="15.75">
      <c r="V41" s="15"/>
      <c r="W41" s="9" t="s">
        <v>439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C5797-F41D-4E60-9BC6-4A116B7658FB}">
  <sheetPr>
    <tabColor theme="5"/>
  </sheetPr>
  <dimension ref="B4:AJ23"/>
  <sheetViews>
    <sheetView showGridLines="0" workbookViewId="0">
      <selection activeCell="C11" sqref="C11"/>
    </sheetView>
  </sheetViews>
  <sheetFormatPr defaultRowHeight="15"/>
  <cols>
    <col min="1" max="1" width="1.7109375" customWidth="1"/>
    <col min="2" max="2" width="20.5703125" customWidth="1"/>
    <col min="3" max="3" width="18.42578125" customWidth="1"/>
    <col min="4" max="4" width="10.42578125" customWidth="1"/>
    <col min="6" max="8" width="3.42578125" customWidth="1"/>
    <col min="9" max="9" width="18.42578125" bestFit="1" customWidth="1"/>
    <col min="10" max="10" width="30.42578125" customWidth="1"/>
    <col min="11" max="11" width="9.42578125" bestFit="1" customWidth="1"/>
    <col min="12" max="12" width="10" bestFit="1" customWidth="1"/>
    <col min="13" max="13" width="20.28515625" customWidth="1"/>
    <col min="14" max="14" width="22.85546875" customWidth="1"/>
    <col min="15" max="15" width="20.140625" customWidth="1"/>
    <col min="16" max="16" width="21.28515625" customWidth="1"/>
    <col min="17" max="17" width="11.28515625" customWidth="1"/>
    <col min="19" max="20" width="1.7109375" customWidth="1"/>
    <col min="21" max="21" width="16.7109375" customWidth="1"/>
    <col min="22" max="22" width="19.7109375" customWidth="1"/>
    <col min="23" max="23" width="10.5703125" customWidth="1"/>
    <col min="25" max="25" width="20.140625" customWidth="1"/>
    <col min="26" max="26" width="23.7109375" customWidth="1"/>
    <col min="27" max="27" width="19.7109375" bestFit="1" customWidth="1"/>
    <col min="28" max="28" width="22.140625" customWidth="1"/>
    <col min="31" max="32" width="10.85546875" customWidth="1"/>
    <col min="33" max="33" width="15.85546875" customWidth="1"/>
    <col min="34" max="34" width="15.28515625" customWidth="1"/>
  </cols>
  <sheetData>
    <row r="4" spans="2:36">
      <c r="B4" s="17" t="s">
        <v>446</v>
      </c>
      <c r="C4" s="17"/>
      <c r="D4" s="17"/>
      <c r="E4" s="17"/>
      <c r="I4" s="17" t="s">
        <v>447</v>
      </c>
      <c r="J4" s="17"/>
      <c r="K4" s="17"/>
      <c r="L4" s="17"/>
      <c r="O4" s="17" t="s">
        <v>448</v>
      </c>
      <c r="P4" s="17"/>
      <c r="Q4" s="17"/>
      <c r="R4" s="17"/>
      <c r="U4" s="17" t="s">
        <v>449</v>
      </c>
      <c r="V4" s="17"/>
      <c r="W4" s="17"/>
      <c r="X4" s="17"/>
      <c r="AA4" s="17" t="s">
        <v>450</v>
      </c>
      <c r="AB4" s="17"/>
      <c r="AC4" s="17"/>
      <c r="AD4" s="17"/>
      <c r="AG4" s="17" t="s">
        <v>451</v>
      </c>
      <c r="AH4" s="17"/>
      <c r="AI4" s="17"/>
      <c r="AJ4" s="17"/>
    </row>
    <row r="5" spans="2:36">
      <c r="B5" s="21" t="s">
        <v>460</v>
      </c>
      <c r="C5" t="s">
        <v>462</v>
      </c>
      <c r="I5" s="21" t="s">
        <v>462</v>
      </c>
      <c r="J5" s="21" t="s">
        <v>463</v>
      </c>
      <c r="O5" s="21" t="s">
        <v>460</v>
      </c>
      <c r="P5" t="s">
        <v>464</v>
      </c>
      <c r="U5" s="21" t="s">
        <v>460</v>
      </c>
      <c r="V5" t="s">
        <v>465</v>
      </c>
      <c r="AA5" s="21" t="s">
        <v>460</v>
      </c>
      <c r="AB5" t="s">
        <v>466</v>
      </c>
      <c r="AG5" t="s">
        <v>467</v>
      </c>
      <c r="AH5" s="23" t="s">
        <v>468</v>
      </c>
    </row>
    <row r="6" spans="2:36">
      <c r="B6" s="22" t="s">
        <v>5</v>
      </c>
      <c r="C6">
        <v>352</v>
      </c>
      <c r="I6" s="21" t="s">
        <v>460</v>
      </c>
      <c r="J6" t="s">
        <v>5</v>
      </c>
      <c r="K6" t="s">
        <v>6</v>
      </c>
      <c r="L6" t="s">
        <v>461</v>
      </c>
      <c r="O6" s="22" t="s">
        <v>455</v>
      </c>
      <c r="P6">
        <v>266</v>
      </c>
      <c r="U6" s="22" t="s">
        <v>426</v>
      </c>
      <c r="V6">
        <v>216</v>
      </c>
      <c r="AA6" s="22" t="s">
        <v>433</v>
      </c>
      <c r="AB6">
        <v>333</v>
      </c>
      <c r="AG6" s="30">
        <v>26467.800000000334</v>
      </c>
      <c r="AH6" s="30">
        <f>GETPIVOTDATA("Mensalidades",$AG$5)*12</f>
        <v>317613.60000000399</v>
      </c>
    </row>
    <row r="7" spans="2:36">
      <c r="B7" s="22" t="s">
        <v>6</v>
      </c>
      <c r="C7">
        <v>450</v>
      </c>
      <c r="I7" s="22" t="s">
        <v>420</v>
      </c>
      <c r="J7">
        <v>62</v>
      </c>
      <c r="K7">
        <v>76</v>
      </c>
      <c r="L7">
        <v>138</v>
      </c>
      <c r="O7" s="22" t="s">
        <v>453</v>
      </c>
      <c r="P7">
        <v>232</v>
      </c>
      <c r="U7" s="22" t="s">
        <v>425</v>
      </c>
      <c r="V7">
        <v>409</v>
      </c>
      <c r="AA7" s="22" t="s">
        <v>436</v>
      </c>
      <c r="AB7">
        <v>190</v>
      </c>
    </row>
    <row r="8" spans="2:36">
      <c r="I8" s="22" t="s">
        <v>421</v>
      </c>
      <c r="J8">
        <v>97</v>
      </c>
      <c r="K8">
        <v>131</v>
      </c>
      <c r="L8">
        <v>228</v>
      </c>
      <c r="O8" s="22" t="s">
        <v>454</v>
      </c>
      <c r="P8">
        <v>168</v>
      </c>
      <c r="U8" s="22" t="s">
        <v>424</v>
      </c>
      <c r="V8">
        <v>177</v>
      </c>
      <c r="AA8" s="22" t="s">
        <v>435</v>
      </c>
      <c r="AB8">
        <v>70</v>
      </c>
    </row>
    <row r="9" spans="2:36">
      <c r="I9" s="22" t="s">
        <v>422</v>
      </c>
      <c r="J9">
        <v>98</v>
      </c>
      <c r="K9">
        <v>105</v>
      </c>
      <c r="L9">
        <v>203</v>
      </c>
      <c r="O9" s="22" t="s">
        <v>456</v>
      </c>
      <c r="P9">
        <v>136</v>
      </c>
      <c r="AA9" s="22" t="s">
        <v>430</v>
      </c>
      <c r="AB9">
        <v>69</v>
      </c>
    </row>
    <row r="10" spans="2:36">
      <c r="B10" s="2"/>
      <c r="C10" s="26" t="s">
        <v>469</v>
      </c>
      <c r="D10" s="26" t="s">
        <v>470</v>
      </c>
      <c r="E10" s="26" t="s">
        <v>471</v>
      </c>
      <c r="I10" s="22" t="s">
        <v>423</v>
      </c>
      <c r="J10">
        <v>95</v>
      </c>
      <c r="K10">
        <v>138</v>
      </c>
      <c r="L10">
        <v>233</v>
      </c>
      <c r="AA10" s="22" t="s">
        <v>429</v>
      </c>
      <c r="AB10">
        <v>47</v>
      </c>
    </row>
    <row r="11" spans="2:36">
      <c r="B11" s="26" t="s">
        <v>5</v>
      </c>
      <c r="C11" s="2">
        <f>IFERROR(GETPIVOTDATA("Gênero",$B$5,"Gênero",B11),0)</f>
        <v>352</v>
      </c>
      <c r="D11" s="24">
        <f>C11/C13</f>
        <v>0.43890274314214461</v>
      </c>
      <c r="E11" s="25">
        <f>1-D11</f>
        <v>0.56109725685785539</v>
      </c>
      <c r="I11" s="22" t="s">
        <v>461</v>
      </c>
      <c r="J11">
        <v>352</v>
      </c>
      <c r="K11">
        <v>450</v>
      </c>
      <c r="L11">
        <v>802</v>
      </c>
      <c r="AA11" s="22" t="s">
        <v>432</v>
      </c>
      <c r="AB11">
        <v>47</v>
      </c>
    </row>
    <row r="12" spans="2:36">
      <c r="B12" s="26" t="s">
        <v>6</v>
      </c>
      <c r="C12" s="2">
        <f>IFERROR(GETPIVOTDATA("Gênero",$B$5,"Gênero",B12),0)</f>
        <v>450</v>
      </c>
      <c r="D12" s="24">
        <f>C12/C13</f>
        <v>0.56109725685785539</v>
      </c>
      <c r="E12" s="25">
        <f>1-D12</f>
        <v>0.43890274314214461</v>
      </c>
      <c r="O12" s="28" t="s">
        <v>469</v>
      </c>
      <c r="P12" s="29">
        <f>SUM(P13:P16)</f>
        <v>802</v>
      </c>
      <c r="U12" s="22" t="s">
        <v>426</v>
      </c>
      <c r="V12">
        <f>GETPIVOTDATA("Região",$U$5,"Região",U12)</f>
        <v>216</v>
      </c>
      <c r="W12" s="27">
        <f>IFERROR(V12/SUM($V$12:$V$14),"- -")</f>
        <v>0.26932668329177056</v>
      </c>
      <c r="AA12" s="22" t="s">
        <v>431</v>
      </c>
      <c r="AB12">
        <v>23</v>
      </c>
    </row>
    <row r="13" spans="2:36">
      <c r="B13" s="26" t="s">
        <v>469</v>
      </c>
      <c r="C13" s="2">
        <f>C11+C12</f>
        <v>802</v>
      </c>
      <c r="D13" s="2"/>
      <c r="E13" s="2"/>
      <c r="O13" t="str">
        <f>O6</f>
        <v>Magic Box</v>
      </c>
      <c r="P13">
        <f>P6</f>
        <v>266</v>
      </c>
      <c r="Q13" s="27">
        <f>P13/SUM($P$13:$P$16)</f>
        <v>0.33167082294264338</v>
      </c>
      <c r="U13" s="22" t="s">
        <v>425</v>
      </c>
      <c r="V13">
        <f t="shared" ref="V13:V14" si="0">GETPIVOTDATA("Região",$U$5,"Região",U13)</f>
        <v>409</v>
      </c>
      <c r="W13" s="27">
        <f t="shared" ref="W13:W14" si="1">IFERROR(V13/SUM($V$12:$V$14),"- -")</f>
        <v>0.5099750623441397</v>
      </c>
      <c r="AA13" s="22" t="s">
        <v>434</v>
      </c>
      <c r="AB13">
        <v>23</v>
      </c>
    </row>
    <row r="14" spans="2:36">
      <c r="O14" t="str">
        <f t="shared" ref="O14:P14" si="2">O7</f>
        <v>Safe Watch</v>
      </c>
      <c r="P14">
        <f t="shared" si="2"/>
        <v>232</v>
      </c>
      <c r="Q14" s="27">
        <f t="shared" ref="Q14:Q16" si="3">P14/SUM($P$13:$P$16)</f>
        <v>0.2892768079800499</v>
      </c>
      <c r="U14" s="22" t="s">
        <v>424</v>
      </c>
      <c r="V14">
        <f t="shared" si="0"/>
        <v>177</v>
      </c>
      <c r="W14" s="27">
        <f t="shared" si="1"/>
        <v>0.22069825436408977</v>
      </c>
    </row>
    <row r="15" spans="2:36">
      <c r="O15" t="str">
        <f t="shared" ref="O15:P15" si="4">O8</f>
        <v>Deluxe Box</v>
      </c>
      <c r="P15">
        <f t="shared" si="4"/>
        <v>168</v>
      </c>
      <c r="Q15" s="27">
        <f t="shared" si="3"/>
        <v>0.20947630922693267</v>
      </c>
    </row>
    <row r="16" spans="2:36">
      <c r="O16" t="str">
        <f t="shared" ref="O16:P16" si="5">O9</f>
        <v>Premium X</v>
      </c>
      <c r="P16">
        <f t="shared" si="5"/>
        <v>136</v>
      </c>
      <c r="Q16" s="27">
        <f t="shared" si="3"/>
        <v>0.16957605985037408</v>
      </c>
      <c r="AA16" t="str">
        <f>IF(AA6="","Não há dados",AA6)</f>
        <v>Produto Excelente</v>
      </c>
      <c r="AB16">
        <f>AB6</f>
        <v>333</v>
      </c>
    </row>
    <row r="17" spans="27:28">
      <c r="AA17" t="str">
        <f t="shared" ref="AA17:AA23" si="6">IF(AA7="","Não há dados",AA7)</f>
        <v>Atendimento Bom</v>
      </c>
      <c r="AB17">
        <f t="shared" ref="AB17" si="7">AB7</f>
        <v>190</v>
      </c>
    </row>
    <row r="18" spans="27:28">
      <c r="AA18" t="str">
        <f t="shared" si="6"/>
        <v>Faltando Item</v>
      </c>
      <c r="AB18">
        <f t="shared" ref="AB18" si="8">AB8</f>
        <v>70</v>
      </c>
    </row>
    <row r="19" spans="27:28">
      <c r="AA19" t="str">
        <f t="shared" si="6"/>
        <v>Atraso na Entrega</v>
      </c>
      <c r="AB19">
        <f t="shared" ref="AB19" si="9">AB9</f>
        <v>69</v>
      </c>
    </row>
    <row r="20" spans="27:28">
      <c r="AA20" t="str">
        <f t="shared" si="6"/>
        <v>Suporte Ruim</v>
      </c>
      <c r="AB20">
        <f t="shared" ref="AB20" si="10">AB10</f>
        <v>47</v>
      </c>
    </row>
    <row r="21" spans="27:28">
      <c r="AA21" t="str">
        <f t="shared" si="6"/>
        <v>Embalagem Danificada</v>
      </c>
      <c r="AB21">
        <f t="shared" ref="AB21" si="11">AB11</f>
        <v>47</v>
      </c>
    </row>
    <row r="22" spans="27:28">
      <c r="AA22" t="str">
        <f t="shared" si="6"/>
        <v>Produto com defeito</v>
      </c>
      <c r="AB22">
        <f t="shared" ref="AB22" si="12">AB12</f>
        <v>23</v>
      </c>
    </row>
    <row r="23" spans="27:28">
      <c r="AA23" t="str">
        <f t="shared" si="6"/>
        <v>Boa qualidade</v>
      </c>
      <c r="AB23">
        <f t="shared" ref="AB23" si="13">AB13</f>
        <v>23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EC6F6-B3E2-44AF-B406-D60B9ADCDA2F}">
  <sheetPr>
    <tabColor theme="8"/>
  </sheetPr>
  <dimension ref="A1:AI40"/>
  <sheetViews>
    <sheetView tabSelected="1" zoomScale="98" zoomScaleNormal="98" workbookViewId="0">
      <selection activeCell="AA27" sqref="AA27"/>
    </sheetView>
  </sheetViews>
  <sheetFormatPr defaultRowHeight="15"/>
  <cols>
    <col min="5" max="5" width="8.85546875" customWidth="1"/>
  </cols>
  <sheetData>
    <row r="1" spans="1:3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6"/>
      <c r="Z1" s="6"/>
      <c r="AA1" s="6"/>
      <c r="AB1" s="6"/>
      <c r="AC1" s="6"/>
      <c r="AD1" s="6"/>
      <c r="AE1" s="4"/>
      <c r="AF1" s="4"/>
      <c r="AG1" s="4"/>
      <c r="AH1" s="4"/>
      <c r="AI1" s="4"/>
    </row>
    <row r="2" spans="1: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6"/>
      <c r="Z2" s="6"/>
      <c r="AA2" s="6"/>
      <c r="AB2" s="6"/>
      <c r="AC2" s="6"/>
      <c r="AD2" s="6"/>
      <c r="AE2" s="4"/>
      <c r="AF2" s="4"/>
      <c r="AG2" s="4"/>
      <c r="AH2" s="4"/>
      <c r="AI2" s="4"/>
    </row>
    <row r="3" spans="1:3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6"/>
      <c r="Z3" s="6"/>
      <c r="AA3" s="6"/>
      <c r="AB3" s="6"/>
      <c r="AC3" s="6"/>
      <c r="AD3" s="6"/>
      <c r="AE3" s="4"/>
      <c r="AF3" s="4"/>
      <c r="AG3" s="4"/>
      <c r="AH3" s="4"/>
      <c r="AI3" s="4"/>
    </row>
    <row r="4" spans="1: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6"/>
      <c r="Z4" s="6"/>
      <c r="AA4" s="6"/>
      <c r="AB4" s="6"/>
      <c r="AC4" s="6"/>
      <c r="AD4" s="6"/>
      <c r="AE4" s="4"/>
      <c r="AF4" s="4"/>
      <c r="AG4" s="4"/>
      <c r="AH4" s="4"/>
      <c r="AI4" s="4"/>
    </row>
    <row r="5" spans="1: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6"/>
      <c r="Z5" s="6"/>
      <c r="AA5" s="6"/>
      <c r="AB5" s="6"/>
      <c r="AC5" s="6"/>
      <c r="AD5" s="6"/>
      <c r="AE5" s="4"/>
      <c r="AF5" s="4"/>
      <c r="AG5" s="4"/>
      <c r="AH5" s="4"/>
      <c r="AI5" s="4"/>
    </row>
    <row r="6" spans="1:3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6"/>
      <c r="Z6" s="6"/>
      <c r="AA6" s="6"/>
      <c r="AB6" s="6"/>
      <c r="AC6" s="6"/>
      <c r="AD6" s="6"/>
      <c r="AE6" s="4"/>
      <c r="AF6" s="4"/>
      <c r="AG6" s="4"/>
      <c r="AH6" s="4"/>
      <c r="AI6" s="4"/>
    </row>
    <row r="7" spans="1:3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6"/>
      <c r="Z7" s="6"/>
      <c r="AA7" s="6"/>
      <c r="AB7" s="6"/>
      <c r="AC7" s="6"/>
      <c r="AD7" s="6"/>
      <c r="AE7" s="4"/>
      <c r="AF7" s="4"/>
      <c r="AG7" s="4"/>
      <c r="AH7" s="4"/>
      <c r="AI7" s="4"/>
    </row>
    <row r="8" spans="1:3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6"/>
      <c r="Z8" s="6"/>
      <c r="AA8" s="6"/>
      <c r="AB8" s="6"/>
      <c r="AC8" s="6"/>
      <c r="AD8" s="6"/>
      <c r="AE8" s="4"/>
      <c r="AF8" s="4"/>
      <c r="AG8" s="4"/>
      <c r="AH8" s="4"/>
      <c r="AI8" s="4"/>
    </row>
    <row r="9" spans="1:3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6"/>
      <c r="Z9" s="6"/>
      <c r="AA9" s="6"/>
      <c r="AB9" s="6"/>
      <c r="AC9" s="6"/>
      <c r="AD9" s="6"/>
      <c r="AE9" s="4"/>
      <c r="AF9" s="4"/>
      <c r="AG9" s="4"/>
      <c r="AH9" s="4"/>
      <c r="AI9" s="4"/>
    </row>
    <row r="10" spans="1:3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6"/>
      <c r="Z10" s="6"/>
      <c r="AA10" s="6"/>
      <c r="AB10" s="6"/>
      <c r="AC10" s="6"/>
      <c r="AD10" s="6"/>
      <c r="AE10" s="4"/>
      <c r="AF10" s="4"/>
      <c r="AG10" s="4"/>
      <c r="AH10" s="4"/>
      <c r="AI10" s="4"/>
    </row>
    <row r="11" spans="1:3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6"/>
      <c r="Z11" s="6"/>
      <c r="AA11" s="6"/>
      <c r="AB11" s="6"/>
      <c r="AC11" s="6"/>
      <c r="AD11" s="6"/>
      <c r="AE11" s="4"/>
      <c r="AF11" s="4"/>
      <c r="AG11" s="4"/>
      <c r="AH11" s="4"/>
      <c r="AI11" s="4"/>
    </row>
    <row r="12" spans="1:3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6"/>
      <c r="Z12" s="6"/>
      <c r="AA12" s="6"/>
      <c r="AB12" s="6"/>
      <c r="AC12" s="6"/>
      <c r="AD12" s="6"/>
      <c r="AE12" s="4"/>
      <c r="AF12" s="4"/>
      <c r="AG12" s="4"/>
      <c r="AH12" s="4"/>
      <c r="AI12" s="4"/>
    </row>
    <row r="13" spans="1:3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6"/>
      <c r="Z13" s="6"/>
      <c r="AA13" s="6"/>
      <c r="AB13" s="6"/>
      <c r="AC13" s="6"/>
      <c r="AD13" s="6"/>
      <c r="AE13" s="4"/>
      <c r="AF13" s="4"/>
      <c r="AG13" s="4"/>
      <c r="AH13" s="4"/>
      <c r="AI13" s="4"/>
    </row>
    <row r="14" spans="1:3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6"/>
      <c r="Z14" s="6"/>
      <c r="AA14" s="6"/>
      <c r="AB14" s="6"/>
      <c r="AC14" s="6"/>
      <c r="AD14" s="6"/>
      <c r="AE14" s="4"/>
      <c r="AF14" s="4"/>
      <c r="AG14" s="4"/>
      <c r="AH14" s="4"/>
      <c r="AI14" s="4"/>
    </row>
    <row r="15" spans="1:3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6"/>
      <c r="Z15" s="6"/>
      <c r="AA15" s="6"/>
      <c r="AB15" s="6"/>
      <c r="AC15" s="6"/>
      <c r="AD15" s="6"/>
      <c r="AE15" s="4"/>
      <c r="AF15" s="4"/>
      <c r="AG15" s="4"/>
      <c r="AH15" s="4"/>
      <c r="AI15" s="4"/>
    </row>
    <row r="16" spans="1: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 t="s">
        <v>472</v>
      </c>
      <c r="P16" s="5"/>
      <c r="Q16" s="5"/>
      <c r="R16" s="5"/>
      <c r="S16" s="5"/>
      <c r="T16" s="5"/>
      <c r="U16" s="5"/>
      <c r="V16" s="5"/>
      <c r="W16" s="5"/>
      <c r="X16" s="5"/>
      <c r="Y16" s="6"/>
      <c r="Z16" s="6"/>
      <c r="AA16" s="6"/>
      <c r="AB16" s="6"/>
      <c r="AC16" s="6"/>
      <c r="AD16" s="6"/>
      <c r="AE16" s="4"/>
      <c r="AF16" s="4"/>
      <c r="AG16" s="4"/>
      <c r="AH16" s="4"/>
      <c r="AI16" s="4"/>
    </row>
    <row r="17" spans="1: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6"/>
      <c r="Z17" s="6"/>
      <c r="AA17" s="6"/>
      <c r="AB17" s="6"/>
      <c r="AC17" s="6"/>
      <c r="AD17" s="6"/>
      <c r="AE17" s="4"/>
      <c r="AF17" s="4"/>
      <c r="AG17" s="4"/>
      <c r="AH17" s="4"/>
      <c r="AI17" s="4"/>
    </row>
    <row r="18" spans="1: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6"/>
      <c r="Z18" s="6"/>
      <c r="AA18" s="6"/>
      <c r="AB18" s="6"/>
      <c r="AC18" s="6"/>
      <c r="AD18" s="6"/>
      <c r="AE18" s="4"/>
      <c r="AF18" s="4"/>
      <c r="AG18" s="4"/>
      <c r="AH18" s="4"/>
      <c r="AI18" s="4"/>
    </row>
    <row r="19" spans="1: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6"/>
      <c r="Z19" s="6"/>
      <c r="AA19" s="6"/>
      <c r="AB19" s="6"/>
      <c r="AC19" s="6"/>
      <c r="AD19" s="6"/>
      <c r="AE19" s="4"/>
      <c r="AF19" s="4"/>
      <c r="AG19" s="4"/>
      <c r="AH19" s="4"/>
      <c r="AI19" s="4"/>
    </row>
    <row r="20" spans="1: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6"/>
      <c r="Z20" s="6"/>
      <c r="AA20" s="6"/>
      <c r="AB20" s="6"/>
      <c r="AC20" s="6"/>
      <c r="AD20" s="6"/>
      <c r="AE20" s="4"/>
      <c r="AF20" s="4"/>
      <c r="AG20" s="4"/>
      <c r="AH20" s="4"/>
      <c r="AI20" s="4"/>
    </row>
    <row r="21" spans="1: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6"/>
      <c r="Z21" s="6"/>
      <c r="AA21" s="6"/>
      <c r="AB21" s="6"/>
      <c r="AC21" s="6"/>
      <c r="AD21" s="6"/>
      <c r="AE21" s="4"/>
      <c r="AF21" s="4"/>
      <c r="AG21" s="4"/>
      <c r="AH21" s="4"/>
      <c r="AI21" s="4"/>
    </row>
    <row r="22" spans="1: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6"/>
      <c r="Z22" s="6"/>
      <c r="AA22" s="6"/>
      <c r="AB22" s="6"/>
      <c r="AC22" s="6"/>
      <c r="AD22" s="6"/>
      <c r="AE22" s="4"/>
      <c r="AF22" s="4"/>
      <c r="AG22" s="4"/>
      <c r="AH22" s="4"/>
      <c r="AI22" s="4"/>
    </row>
    <row r="23" spans="1: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6"/>
      <c r="Z23" s="6"/>
      <c r="AA23" s="6"/>
      <c r="AB23" s="6"/>
      <c r="AC23" s="6"/>
      <c r="AD23" s="6"/>
      <c r="AE23" s="4"/>
      <c r="AF23" s="4"/>
      <c r="AG23" s="4"/>
      <c r="AH23" s="4"/>
      <c r="AI23" s="4"/>
    </row>
    <row r="24" spans="1: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6"/>
      <c r="Z24" s="6"/>
      <c r="AA24" s="6"/>
      <c r="AB24" s="6"/>
      <c r="AC24" s="6"/>
      <c r="AD24" s="6"/>
      <c r="AE24" s="4"/>
      <c r="AF24" s="4"/>
      <c r="AG24" s="4"/>
      <c r="AH24" s="4"/>
      <c r="AI24" s="4"/>
    </row>
    <row r="25" spans="1: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6"/>
      <c r="Z25" s="6"/>
      <c r="AA25" s="6"/>
      <c r="AB25" s="6"/>
      <c r="AC25" s="6"/>
      <c r="AD25" s="6"/>
      <c r="AE25" s="4"/>
      <c r="AF25" s="4"/>
      <c r="AG25" s="4"/>
      <c r="AH25" s="4"/>
      <c r="AI25" s="4"/>
    </row>
    <row r="26" spans="1: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6"/>
      <c r="Z26" s="6"/>
      <c r="AA26" s="6"/>
      <c r="AB26" s="6"/>
      <c r="AC26" s="6"/>
      <c r="AD26" s="6"/>
      <c r="AE26" s="4"/>
      <c r="AF26" s="4"/>
      <c r="AG26" s="4"/>
      <c r="AH26" s="4"/>
      <c r="AI26" s="4"/>
    </row>
    <row r="27" spans="1: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6"/>
      <c r="Z27" s="6"/>
      <c r="AA27" s="6"/>
      <c r="AB27" s="6"/>
      <c r="AC27" s="6"/>
      <c r="AD27" s="6"/>
      <c r="AE27" s="4"/>
      <c r="AF27" s="4"/>
      <c r="AG27" s="4"/>
      <c r="AH27" s="4"/>
      <c r="AI27" s="4"/>
    </row>
    <row r="28" spans="1: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6"/>
      <c r="Z28" s="6"/>
      <c r="AA28" s="6"/>
      <c r="AB28" s="6"/>
      <c r="AC28" s="6"/>
      <c r="AD28" s="6"/>
      <c r="AE28" s="4"/>
      <c r="AF28" s="4"/>
      <c r="AG28" s="4"/>
      <c r="AH28" s="4"/>
      <c r="AI28" s="4"/>
    </row>
    <row r="29" spans="1: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6"/>
      <c r="Z29" s="6"/>
      <c r="AA29" s="6"/>
      <c r="AB29" s="6"/>
      <c r="AC29" s="6"/>
      <c r="AD29" s="6"/>
      <c r="AE29" s="4"/>
      <c r="AF29" s="4"/>
      <c r="AG29" s="4"/>
      <c r="AH29" s="4"/>
      <c r="AI29" s="4"/>
    </row>
    <row r="30" spans="1: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6"/>
      <c r="Z30" s="6"/>
      <c r="AA30" s="6"/>
      <c r="AB30" s="6"/>
      <c r="AC30" s="6"/>
      <c r="AD30" s="6"/>
      <c r="AE30" s="4"/>
      <c r="AF30" s="4"/>
      <c r="AG30" s="4"/>
      <c r="AH30" s="4"/>
      <c r="AI30" s="4"/>
    </row>
    <row r="31" spans="1: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6"/>
      <c r="Z31" s="6"/>
      <c r="AA31" s="6"/>
      <c r="AB31" s="6"/>
      <c r="AC31" s="6"/>
      <c r="AD31" s="6"/>
      <c r="AE31" s="4"/>
      <c r="AF31" s="4"/>
      <c r="AG31" s="4"/>
      <c r="AH31" s="4"/>
      <c r="AI31" s="4"/>
    </row>
    <row r="32" spans="1: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6"/>
      <c r="Z32" s="6"/>
      <c r="AA32" s="6"/>
      <c r="AB32" s="6"/>
      <c r="AC32" s="6"/>
      <c r="AD32" s="6"/>
      <c r="AE32" s="4"/>
      <c r="AF32" s="4"/>
      <c r="AG32" s="4"/>
      <c r="AH32" s="4"/>
      <c r="AI32" s="4"/>
    </row>
    <row r="33" spans="1: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6"/>
      <c r="Z33" s="6"/>
      <c r="AA33" s="6"/>
      <c r="AB33" s="6"/>
      <c r="AC33" s="6"/>
      <c r="AD33" s="6"/>
      <c r="AE33" s="4"/>
      <c r="AF33" s="4"/>
      <c r="AG33" s="4"/>
      <c r="AH33" s="4"/>
      <c r="AI33" s="4"/>
    </row>
    <row r="34" spans="1: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6"/>
      <c r="Z34" s="6"/>
      <c r="AA34" s="6"/>
      <c r="AB34" s="6"/>
      <c r="AC34" s="6"/>
      <c r="AD34" s="6"/>
      <c r="AE34" s="4"/>
      <c r="AF34" s="4"/>
      <c r="AG34" s="4"/>
      <c r="AH34" s="4"/>
      <c r="AI34" s="4"/>
    </row>
    <row r="35" spans="1: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6"/>
      <c r="Z35" s="6"/>
      <c r="AA35" s="6"/>
      <c r="AB35" s="6"/>
      <c r="AC35" s="6"/>
      <c r="AD35" s="6"/>
      <c r="AE35" s="4"/>
      <c r="AF35" s="4"/>
      <c r="AG35" s="4"/>
      <c r="AH35" s="4"/>
      <c r="AI35" s="4"/>
    </row>
    <row r="36" spans="1: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6"/>
      <c r="Z36" s="6"/>
      <c r="AA36" s="6"/>
      <c r="AB36" s="6"/>
      <c r="AC36" s="6"/>
      <c r="AD36" s="6"/>
      <c r="AE36" s="4"/>
      <c r="AF36" s="4"/>
      <c r="AG36" s="4"/>
      <c r="AH36" s="4"/>
      <c r="AI36" s="4"/>
    </row>
    <row r="37" spans="1: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6"/>
      <c r="Z37" s="6"/>
      <c r="AA37" s="6"/>
      <c r="AB37" s="6"/>
      <c r="AC37" s="6"/>
      <c r="AD37" s="6"/>
      <c r="AE37" s="4"/>
      <c r="AF37" s="4"/>
      <c r="AG37" s="4"/>
      <c r="AH37" s="4"/>
      <c r="AI37" s="4"/>
    </row>
    <row r="38" spans="1: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6"/>
      <c r="Z38" s="6"/>
      <c r="AA38" s="6"/>
      <c r="AB38" s="6"/>
      <c r="AC38" s="6"/>
      <c r="AD38" s="6"/>
      <c r="AE38" s="4"/>
      <c r="AF38" s="4"/>
      <c r="AG38" s="4"/>
      <c r="AH38" s="4"/>
      <c r="AI38" s="4"/>
    </row>
    <row r="39" spans="1:3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6"/>
      <c r="Z39" s="6"/>
      <c r="AA39" s="6"/>
      <c r="AB39" s="6"/>
      <c r="AC39" s="6"/>
      <c r="AD39" s="6"/>
      <c r="AE39" s="4"/>
      <c r="AF39" s="4"/>
      <c r="AG39" s="4"/>
      <c r="AH39" s="4"/>
      <c r="AI39" s="4"/>
    </row>
    <row r="40" spans="1: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BaseAssinantes</vt:lpstr>
      <vt:lpstr>Planejamento</vt:lpstr>
      <vt:lpstr>Análise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Gonçalves</dc:creator>
  <cp:lastModifiedBy>Vinícius Gonçalves</cp:lastModifiedBy>
  <dcterms:created xsi:type="dcterms:W3CDTF">2024-03-18T18:37:37Z</dcterms:created>
  <dcterms:modified xsi:type="dcterms:W3CDTF">2026-02-01T00:05:13Z</dcterms:modified>
</cp:coreProperties>
</file>